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BBQ Entree (Updated Names and Recipes Extracted)\"/>
    </mc:Choice>
  </mc:AlternateContent>
  <xr:revisionPtr revIDLastSave="0" documentId="13_ncr:1_{26493276-4DE7-40B3-A09D-210643704DB5}" xr6:coauthVersionLast="47" xr6:coauthVersionMax="47" xr10:uidLastSave="{00000000-0000-0000-0000-000000000000}"/>
  <bookViews>
    <workbookView xWindow="-120" yWindow="-120" windowWidth="29040" windowHeight="15720" xr2:uid="{00000000-000D-0000-FFFF-FFFF00000000}"/>
  </bookViews>
  <sheets>
    <sheet name="Pulled Pork Platter" sheetId="1" r:id="rId1"/>
    <sheet name="Mac and Cheese (2)" sheetId="10" r:id="rId2"/>
    <sheet name="Pork" sheetId="7" r:id="rId3"/>
    <sheet name="Bechamel Cheese Sauce (2)" sheetId="11" r:id="rId4"/>
    <sheet name="Slaw (2)" sheetId="12" r:id="rId5"/>
    <sheet name="Pickled Vegetables (2)" sheetId="13" r:id="rId6"/>
  </sheets>
  <externalReferences>
    <externalReference r:id="rId7"/>
  </externalReferences>
  <definedNames>
    <definedName name="_xlnm.Print_Area" localSheetId="3">'Bechamel Cheese Sauce (2)'!$A$1:$E$58</definedName>
    <definedName name="_xlnm.Print_Area" localSheetId="1">'Mac and Cheese (2)'!$A$1:$E$58</definedName>
    <definedName name="_xlnm.Print_Area" localSheetId="5">'Pickled Vegetables (2)'!$A$1:$E$58</definedName>
    <definedName name="_xlnm.Print_Area" localSheetId="2">Pork!$A$1:$E$52</definedName>
    <definedName name="_xlnm.Print_Area" localSheetId="0">'Pulled Pork Platter'!$A$1:$E$58</definedName>
    <definedName name="_xlnm.Print_Area" localSheetId="4">'Slaw (2)'!$A$1:$E$58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3" l="1"/>
  <c r="E9" i="13"/>
  <c r="E8" i="13"/>
  <c r="E7" i="13"/>
  <c r="E6" i="13"/>
  <c r="E5" i="13"/>
  <c r="E4" i="13"/>
  <c r="E3" i="13"/>
  <c r="E52" i="13" s="1"/>
  <c r="E54" i="13" s="1"/>
  <c r="E56" i="13" s="1"/>
  <c r="E58" i="13" s="1"/>
  <c r="E52" i="12"/>
  <c r="E54" i="12" s="1"/>
  <c r="E56" i="12" s="1"/>
  <c r="E58" i="12" s="1"/>
  <c r="E13" i="11"/>
  <c r="E12" i="11"/>
  <c r="E11" i="11"/>
  <c r="E10" i="11"/>
  <c r="E9" i="11"/>
  <c r="E8" i="11"/>
  <c r="E7" i="11"/>
  <c r="E6" i="11"/>
  <c r="E5" i="11"/>
  <c r="E4" i="11"/>
  <c r="E3" i="11"/>
  <c r="E52" i="11" s="1"/>
  <c r="E54" i="11" s="1"/>
  <c r="E56" i="11" s="1"/>
  <c r="E58" i="11" s="1"/>
  <c r="E3" i="10"/>
  <c r="E4" i="10"/>
  <c r="E5" i="10"/>
  <c r="E6" i="10"/>
  <c r="E7" i="10"/>
  <c r="E8" i="10"/>
  <c r="E9" i="10"/>
  <c r="E10" i="10"/>
  <c r="E52" i="10" l="1"/>
  <c r="E54" i="10" s="1"/>
  <c r="E56" i="10" s="1"/>
  <c r="E58" i="10" s="1"/>
  <c r="E46" i="7"/>
  <c r="E48" i="7" s="1"/>
  <c r="E50" i="7" s="1"/>
  <c r="E52" i="7" s="1"/>
  <c r="E10" i="1"/>
  <c r="E9" i="1"/>
  <c r="E8" i="1"/>
  <c r="E7" i="1" l="1"/>
  <c r="E3" i="1" l="1"/>
  <c r="E6" i="1"/>
  <c r="E5" i="1"/>
  <c r="E4" i="1"/>
  <c r="E52" i="1" l="1"/>
  <c r="E54" i="1" s="1"/>
  <c r="E56" i="1" s="1"/>
  <c r="E58" i="1" s="1"/>
</calcChain>
</file>

<file path=xl/sharedStrings.xml><?xml version="1.0" encoding="utf-8"?>
<sst xmlns="http://schemas.openxmlformats.org/spreadsheetml/2006/main" count="305" uniqueCount="117">
  <si>
    <t>Ingredients</t>
  </si>
  <si>
    <t>Quantity</t>
  </si>
  <si>
    <t>Measure</t>
  </si>
  <si>
    <t>Unit Cost</t>
  </si>
  <si>
    <t>Total Cost</t>
  </si>
  <si>
    <t>Pulled Pork (See Recipe)</t>
  </si>
  <si>
    <t>oz</t>
  </si>
  <si>
    <t>Mac and Cheese (See Recipe)</t>
  </si>
  <si>
    <t>Serving</t>
  </si>
  <si>
    <t>Slaw (See Recipe)</t>
  </si>
  <si>
    <t>Pickled Veg (See Recipe)</t>
  </si>
  <si>
    <t>White Bread</t>
  </si>
  <si>
    <t>Slice</t>
  </si>
  <si>
    <t>Assembly:</t>
  </si>
  <si>
    <t>Yield Amount:</t>
  </si>
  <si>
    <t>1. Put pork , slaw and veggies on plate.</t>
  </si>
  <si>
    <t>Yield Measure:</t>
  </si>
  <si>
    <t>serving</t>
  </si>
  <si>
    <t>Shelf Life (in days):</t>
  </si>
  <si>
    <t xml:space="preserve">7 days </t>
  </si>
  <si>
    <t>Tools &amp; Supplies:</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</si>
  <si>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</si>
  <si>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</si>
  <si>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</si>
  <si>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</si>
  <si>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</si>
  <si>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</si>
  <si>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</si>
  <si>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</si>
  <si>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</si>
  <si>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</si>
  <si>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</si>
  <si>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</si>
  <si>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</si>
  <si>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</si>
  <si>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</si>
  <si>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</si>
  <si>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</si>
  <si>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Pork</t>
  </si>
  <si>
    <t>lbs</t>
  </si>
  <si>
    <t>Brown Sugar</t>
  </si>
  <si>
    <t>Lawrys</t>
  </si>
  <si>
    <t>Smoked Paprika</t>
  </si>
  <si>
    <t>Garlic Powder</t>
  </si>
  <si>
    <t>Onion Powder</t>
  </si>
  <si>
    <t>T</t>
  </si>
  <si>
    <t>Black Pepper</t>
  </si>
  <si>
    <t>Apple Powder</t>
  </si>
  <si>
    <t>Cumin</t>
  </si>
  <si>
    <t>Chili Powder</t>
  </si>
  <si>
    <t>Mustard Powder</t>
  </si>
  <si>
    <t>Cinnamon</t>
  </si>
  <si>
    <t>t</t>
  </si>
  <si>
    <t>Cayenne Pepper</t>
  </si>
  <si>
    <t>Chipotle Powder</t>
  </si>
  <si>
    <t>1. Combine brown sugar, Lawry’s, smoked paprika, garlic powder, onion powder, black pepper, apple powder, cumin, chili powder, mustard powder, cinnamon, cayenne, and chipotle powder.
2. Pat the pork dry and trim the fat cap to 1/4 inch.
3. Coat all sides of the pork with the rub and press it firmly into the meat.
4. Preheat the smoker to 225°F or 250°F using apple or hickory wood.
5. Smoke the pork fat-side up until the internal temperature reaches 160°F and a dark bark forms.
6. Wrap the pork tightly in butcher paper or aluminum foil.
7. Return to the smoker and cook until the internal temperature reaches 203°F and the meat is probe-tender.
8. Rest the meat for at least 1 hour, then shred using forks or hands.</t>
  </si>
  <si>
    <t>Mac and Cheese</t>
  </si>
  <si>
    <t>Cavatapi Pasta, cooked</t>
  </si>
  <si>
    <t>Toasted Breadcrumbs</t>
  </si>
  <si>
    <t>Shredded Cheese Blend</t>
  </si>
  <si>
    <t>1. Heat pasta in hot water.</t>
  </si>
  <si>
    <t>2. Heat sauce in a saute pan</t>
  </si>
  <si>
    <t>3. Add pasta to sauce once both are hot.</t>
  </si>
  <si>
    <t>4. Put into iron skillet and top with breadcrumbs.</t>
  </si>
  <si>
    <t>5. Put in salamander to brown.</t>
  </si>
  <si>
    <t>Bechamel Cheese Sauce</t>
  </si>
  <si>
    <t>Flour</t>
  </si>
  <si>
    <t>c</t>
  </si>
  <si>
    <t>Butter</t>
  </si>
  <si>
    <t>#</t>
  </si>
  <si>
    <t>Milk</t>
  </si>
  <si>
    <t>G</t>
  </si>
  <si>
    <t>Bay Leaf</t>
  </si>
  <si>
    <t>ea</t>
  </si>
  <si>
    <t>Shredded Cheddar Blend</t>
  </si>
  <si>
    <t>qts</t>
  </si>
  <si>
    <t>Mozzarella Cheese</t>
  </si>
  <si>
    <t xml:space="preserve">qt </t>
  </si>
  <si>
    <t>Salt</t>
  </si>
  <si>
    <t>TT</t>
  </si>
  <si>
    <t>Cayanee</t>
  </si>
  <si>
    <t>pinch</t>
  </si>
  <si>
    <t>Slaw</t>
  </si>
  <si>
    <t>Green Cabbage (Shredded)</t>
  </si>
  <si>
    <t>qt</t>
  </si>
  <si>
    <t xml:space="preserve">Purple Cabbage (Shredded) </t>
  </si>
  <si>
    <t>Carrot (Shredded)</t>
  </si>
  <si>
    <t>Mayo</t>
  </si>
  <si>
    <t>Cups</t>
  </si>
  <si>
    <t>White Vinegar</t>
  </si>
  <si>
    <t>Apple Cider Vinegar</t>
  </si>
  <si>
    <t>Sugar</t>
  </si>
  <si>
    <t>Celery Seed</t>
  </si>
  <si>
    <t>tt</t>
  </si>
  <si>
    <t>Pepper</t>
  </si>
  <si>
    <t>1. Mix all ingredients in a large mixing bowl and toss to mix.</t>
  </si>
  <si>
    <t>2. Taste and make any adjustments needed.</t>
  </si>
  <si>
    <t>Cutting Board</t>
  </si>
  <si>
    <t>Fryer</t>
  </si>
  <si>
    <t>Dinner plate</t>
  </si>
  <si>
    <t>Pickled Carrots</t>
  </si>
  <si>
    <t>Baby Carrots, Halved</t>
  </si>
  <si>
    <t>Apple Cider Vin</t>
  </si>
  <si>
    <t>Water</t>
  </si>
  <si>
    <t>Red Chili Flakes</t>
  </si>
  <si>
    <t>Dill, Fresh</t>
  </si>
  <si>
    <t>Garlic</t>
  </si>
  <si>
    <t>1. Mix vinegar, sugar, and water in a large bot and bring to a boil.</t>
  </si>
  <si>
    <t>2. Let vinegar mixture cool.</t>
  </si>
  <si>
    <t>3. Add carrots, red chili flakes, dill, and garlic to a container and pour vinegar mixture over it once cool</t>
  </si>
  <si>
    <t>1. Heat milk with the bay leaf over low heat until warm, then remove from heat and discard the leaf.
2. Melt butter in a separate saucepan over medium-low heat and add flour.
3. Whisk the butter and flour constantly for 1–2 minutes until pale golden.
4. Slowly whisk the warm milk into the flour mixture in stages until smooth.
5. Simmer over medium-low heat for about 5 minutes until the sauce coats the back of a spoon.
6. Stir in mustard powder, salt, and cayenne.
7. Turn heat to low and stir in the cheddar and mozzarella one handful at a time until melted and glossy.</t>
  </si>
  <si>
    <t>MENU ITEM:</t>
  </si>
  <si>
    <t>RECIPE:</t>
  </si>
  <si>
    <t>Bechemel Cheese Sauce (See MENU ITEM)</t>
  </si>
  <si>
    <t>MENU ITEM Cost</t>
  </si>
  <si>
    <t>Pulled Pork Recipe</t>
  </si>
  <si>
    <t>Pulled Pork Platter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</si>
</sst>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5"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sz val="11"/>
      <name val="Calibri"/>
      <family val="2"/>
    </font>
    <font>
      <sz val="10"/>
      <name val="Arial"/>
      <family val="2"/>
    </font>
    <font>
      <sz val="12"/>
      <color rgb="FFFF0000"/>
      <name val="Arial"/>
      <family val="2"/>
    </font>
  </fonts>
  <fills count="4">
    <fill>
      <patternFill patternType="none"/>
    </fill>
    <fill>
      <patternFill patternType="gray125"/>
    </fill>
    <fill>
      <patternFill patternType="solid">
        <fgColor indexed="9"/>
        <bgColor indexed="64"/>
      </patternFill>
    </fill>
    <fill>
      <patternFill patternType="solid">
        <fgColor rgb="FFFFFF00"/>
        <bgColor indexed="64"/>
      </patternFill>
    </fill>
  </fills>
  <borders count="30">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125">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5" fontId="7" fillId="2" borderId="12" xfId="0" applyNumberFormat="1" applyFont="1" applyBorder="1" applyAlignment="1">
      <alignment horizontal="center"/>
    </xf>
    <xf numFmtId="0" fontId="5" fillId="2" borderId="17"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0" fontId="5" fillId="2" borderId="10" xfId="0" applyNumberFormat="1" applyFont="1" applyBorder="1" applyAlignment="1" applyProtection="1">
      <alignment horizontal="left"/>
      <protection locked="0"/>
    </xf>
    <xf numFmtId="1" fontId="5" fillId="2" borderId="3" xfId="0" applyFont="1" applyBorder="1" applyAlignment="1" applyProtection="1">
      <alignment horizontal="center"/>
      <protection locked="0"/>
    </xf>
    <xf numFmtId="0" fontId="5" fillId="2" borderId="18"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20" xfId="0" applyNumberFormat="1" applyBorder="1" applyProtection="1">
      <alignment horizontal="center" vertical="center"/>
      <protection locked="0"/>
    </xf>
    <xf numFmtId="0" fontId="5" fillId="2" borderId="19"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0" fontId="5" fillId="2" borderId="23"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20"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0" fontId="0" fillId="2" borderId="23" xfId="0" applyNumberFormat="1" applyBorder="1" applyAlignment="1" applyProtection="1">
      <alignment horizontal="center" wrapText="1"/>
      <protection locked="0"/>
    </xf>
    <xf numFmtId="2" fontId="5" fillId="2" borderId="3" xfId="0" applyNumberFormat="1" applyFont="1" applyBorder="1" applyAlignment="1" applyProtection="1">
      <alignment horizontal="center" vertical="center" wrapText="1"/>
      <protection locked="0"/>
    </xf>
    <xf numFmtId="0" fontId="0" fillId="2" borderId="19" xfId="0" applyNumberFormat="1" applyBorder="1" applyAlignment="1" applyProtection="1">
      <alignment horizontal="left" wrapText="1"/>
      <protection locked="0"/>
    </xf>
    <xf numFmtId="0" fontId="5" fillId="2" borderId="10" xfId="0" applyNumberFormat="1" applyFont="1" applyBorder="1" applyAlignment="1">
      <alignment horizontal="left"/>
    </xf>
    <xf numFmtId="0" fontId="5" fillId="2" borderId="3" xfId="0" applyNumberFormat="1" applyFont="1" applyBorder="1" applyAlignment="1">
      <alignment horizontal="center"/>
    </xf>
    <xf numFmtId="2" fontId="5" fillId="2" borderId="3" xfId="0" applyNumberFormat="1" applyFont="1" applyBorder="1" applyAlignment="1">
      <alignment horizontal="center"/>
    </xf>
    <xf numFmtId="164" fontId="5" fillId="2" borderId="3" xfId="0" applyNumberFormat="1" applyFont="1" applyBorder="1" applyAlignment="1">
      <alignment horizontal="center"/>
    </xf>
    <xf numFmtId="0" fontId="5" fillId="2" borderId="3" xfId="0" applyNumberFormat="1" applyFont="1" applyBorder="1" applyAlignment="1" applyProtection="1">
      <alignment horizontal="left"/>
      <protection locked="0"/>
    </xf>
    <xf numFmtId="1" fontId="12" fillId="2" borderId="0" xfId="0" applyFont="1" applyAlignment="1">
      <alignment horizontal="left" vertical="center" indent="4"/>
    </xf>
    <xf numFmtId="0" fontId="13" fillId="2" borderId="19" xfId="0" applyNumberFormat="1" applyFont="1" applyBorder="1" applyAlignment="1" applyProtection="1">
      <alignment horizontal="left" wrapText="1"/>
      <protection locked="0"/>
    </xf>
    <xf numFmtId="0" fontId="7" fillId="2" borderId="11" xfId="0" applyNumberFormat="1" applyFont="1" applyBorder="1" applyAlignment="1">
      <alignment horizontal="center"/>
    </xf>
    <xf numFmtId="0" fontId="7" fillId="2" borderId="28" xfId="0" applyNumberFormat="1" applyFont="1" applyBorder="1" applyAlignment="1">
      <alignment horizontal="center"/>
    </xf>
    <xf numFmtId="7" fontId="7" fillId="2" borderId="10" xfId="0" applyNumberFormat="1" applyFont="1" applyBorder="1" applyAlignment="1">
      <alignment horizontal="center"/>
    </xf>
    <xf numFmtId="7" fontId="7" fillId="2" borderId="27" xfId="0" applyNumberFormat="1" applyFont="1" applyBorder="1" applyAlignment="1">
      <alignment horizontal="center"/>
    </xf>
    <xf numFmtId="0" fontId="0" fillId="2" borderId="19"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20" xfId="0" applyNumberFormat="1" applyBorder="1" applyAlignment="1" applyProtection="1">
      <alignment horizontal="left" vertical="center"/>
      <protection locked="0"/>
    </xf>
    <xf numFmtId="7" fontId="7" fillId="2" borderId="9" xfId="0" applyNumberFormat="1" applyFont="1" applyBorder="1" applyAlignment="1">
      <alignment horizontal="center"/>
    </xf>
    <xf numFmtId="7" fontId="7" fillId="2" borderId="16" xfId="0" applyNumberFormat="1" applyFont="1" applyBorder="1" applyAlignment="1">
      <alignment horizontal="center"/>
    </xf>
    <xf numFmtId="0" fontId="8" fillId="2" borderId="24"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6" fillId="2" borderId="9" xfId="0" applyNumberFormat="1" applyFont="1" applyBorder="1" applyAlignment="1" applyProtection="1">
      <alignment horizontal="center" wrapText="1" readingOrder="1"/>
      <protection locked="0"/>
    </xf>
    <xf numFmtId="0" fontId="6" fillId="2" borderId="25" xfId="0" applyNumberFormat="1" applyFont="1" applyBorder="1" applyAlignment="1" applyProtection="1">
      <alignment horizontal="center" wrapText="1" readingOrder="1"/>
      <protection locked="0"/>
    </xf>
    <xf numFmtId="0" fontId="8" fillId="2" borderId="17"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164" fontId="3" fillId="2" borderId="16" xfId="0" applyNumberFormat="1" applyFont="1" applyBorder="1" applyAlignment="1">
      <alignment horizontal="right"/>
    </xf>
    <xf numFmtId="164" fontId="3" fillId="2" borderId="1" xfId="0" applyNumberFormat="1" applyFont="1" applyBorder="1" applyAlignment="1">
      <alignment horizontal="right"/>
    </xf>
    <xf numFmtId="0" fontId="3" fillId="2" borderId="27"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0" fontId="0" fillId="2" borderId="19" xfId="0" applyNumberFormat="1" applyBorder="1" applyAlignment="1" applyProtection="1">
      <alignment horizontal="left"/>
      <protection locked="0"/>
    </xf>
    <xf numFmtId="1" fontId="0" fillId="2" borderId="20" xfId="0" applyBorder="1" applyAlignment="1" applyProtection="1">
      <alignment horizontal="left"/>
      <protection locked="0"/>
    </xf>
    <xf numFmtId="0" fontId="6" fillId="2" borderId="19" xfId="0" applyNumberFormat="1" applyFont="1" applyBorder="1" applyAlignment="1">
      <alignment horizontal="center" wrapText="1"/>
    </xf>
    <xf numFmtId="0" fontId="6" fillId="2" borderId="20" xfId="0" applyNumberFormat="1" applyFont="1" applyBorder="1" applyAlignment="1">
      <alignment horizontal="center" wrapText="1"/>
    </xf>
    <xf numFmtId="0" fontId="0" fillId="2" borderId="19" xfId="0" applyNumberFormat="1" applyBorder="1" applyAlignment="1" applyProtection="1">
      <alignment horizontal="left" vertical="top" readingOrder="1"/>
      <protection locked="0"/>
    </xf>
    <xf numFmtId="0" fontId="0" fillId="2" borderId="20" xfId="0" applyNumberFormat="1" applyBorder="1" applyAlignment="1" applyProtection="1">
      <alignment horizontal="left" vertical="top" readingOrder="1"/>
      <protection locked="0"/>
    </xf>
    <xf numFmtId="0" fontId="5" fillId="2" borderId="19"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3" fillId="2" borderId="26"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0" fillId="2" borderId="21" xfId="0" applyNumberFormat="1" applyBorder="1" applyAlignment="1" applyProtection="1">
      <alignment horizontal="left"/>
      <protection locked="0"/>
    </xf>
    <xf numFmtId="1" fontId="0" fillId="2" borderId="23" xfId="0" applyBorder="1" applyAlignment="1" applyProtection="1">
      <alignment horizontal="left"/>
      <protection locked="0"/>
    </xf>
    <xf numFmtId="0" fontId="6" fillId="2" borderId="7" xfId="0" applyNumberFormat="1" applyFont="1" applyBorder="1" applyAlignment="1">
      <alignment horizontal="center" wrapText="1"/>
    </xf>
    <xf numFmtId="0" fontId="6" fillId="2" borderId="14" xfId="0" applyNumberFormat="1" applyFont="1" applyBorder="1" applyAlignment="1">
      <alignment horizontal="center" wrapText="1"/>
    </xf>
    <xf numFmtId="0" fontId="2" fillId="2" borderId="15" xfId="0" applyNumberFormat="1" applyFont="1" applyBorder="1" applyAlignment="1">
      <alignment horizontal="center"/>
    </xf>
    <xf numFmtId="0" fontId="2" fillId="2" borderId="29" xfId="0" applyNumberFormat="1" applyFont="1" applyBorder="1" applyAlignment="1">
      <alignment horizontal="center"/>
    </xf>
    <xf numFmtId="0" fontId="14" fillId="2" borderId="0" xfId="0" applyNumberFormat="1" applyFont="1">
      <alignment horizontal="center" vertical="center"/>
    </xf>
    <xf numFmtId="0" fontId="5" fillId="3" borderId="17" xfId="0" applyNumberFormat="1" applyFont="1" applyFill="1" applyBorder="1" applyAlignment="1" applyProtection="1">
      <alignment horizontal="left"/>
      <protection locked="0"/>
    </xf>
    <xf numFmtId="2" fontId="5" fillId="3" borderId="3" xfId="0" applyNumberFormat="1" applyFont="1" applyFill="1" applyBorder="1" applyAlignment="1" applyProtection="1">
      <alignment horizontal="center"/>
      <protection locked="0"/>
    </xf>
    <xf numFmtId="0" fontId="5" fillId="3" borderId="3" xfId="0" applyNumberFormat="1" applyFont="1" applyFill="1" applyBorder="1" applyAlignment="1" applyProtection="1">
      <alignment horizontal="center"/>
      <protection locked="0"/>
    </xf>
    <xf numFmtId="164" fontId="5" fillId="3" borderId="3" xfId="0" applyNumberFormat="1" applyFont="1" applyFill="1" applyBorder="1" applyAlignment="1" applyProtection="1">
      <alignment horizontal="center"/>
      <protection locked="0"/>
    </xf>
    <xf numFmtId="164" fontId="5" fillId="3" borderId="4" xfId="0" applyNumberFormat="1" applyFont="1" applyFill="1" applyBorder="1" applyAlignment="1">
      <alignment horizontal="center"/>
    </xf>
    <xf numFmtId="2" fontId="5" fillId="3" borderId="3" xfId="0" applyNumberFormat="1" applyFont="1" applyFill="1" applyBorder="1" applyAlignment="1" applyProtection="1">
      <alignment horizontal="center" vertical="center" wrapText="1"/>
      <protection locked="0"/>
    </xf>
    <xf numFmtId="1" fontId="5" fillId="3" borderId="3" xfId="0" applyFont="1" applyFill="1" applyBorder="1" applyAlignment="1" applyProtection="1">
      <alignment horizontal="center"/>
      <protection locked="0"/>
    </xf>
    <xf numFmtId="0" fontId="5" fillId="3" borderId="18" xfId="0" applyNumberFormat="1" applyFont="1" applyFill="1" applyBorder="1" applyAlignment="1" applyProtection="1">
      <alignment horizontal="left"/>
      <protection locked="0"/>
    </xf>
    <xf numFmtId="1" fontId="5" fillId="3" borderId="5" xfId="0" applyFont="1" applyFill="1" applyBorder="1" applyAlignment="1" applyProtection="1">
      <alignment horizontal="center"/>
      <protection locked="0"/>
    </xf>
    <xf numFmtId="0" fontId="5" fillId="3" borderId="5" xfId="0" applyNumberFormat="1" applyFont="1" applyFill="1" applyBorder="1" applyAlignment="1" applyProtection="1">
      <alignment horizontal="center"/>
      <protection locked="0"/>
    </xf>
    <xf numFmtId="164" fontId="5" fillId="3" borderId="5" xfId="0" applyNumberFormat="1" applyFont="1" applyFill="1" applyBorder="1" applyAlignment="1" applyProtection="1">
      <alignment horizontal="center"/>
      <protection locked="0"/>
    </xf>
    <xf numFmtId="164" fontId="5" fillId="3" borderId="6" xfId="0" applyNumberFormat="1" applyFont="1" applyFill="1" applyBorder="1" applyAlignment="1">
      <alignment horizontal="center"/>
    </xf>
    <xf numFmtId="0" fontId="1" fillId="3" borderId="7" xfId="0" applyNumberFormat="1" applyFont="1" applyFill="1" applyBorder="1" applyAlignment="1">
      <alignment horizontal="center"/>
    </xf>
    <xf numFmtId="0" fontId="2" fillId="3" borderId="7" xfId="0" applyNumberFormat="1" applyFont="1" applyFill="1" applyBorder="1" applyAlignment="1" applyProtection="1">
      <alignment horizontal="center"/>
      <protection locked="0"/>
    </xf>
    <xf numFmtId="0" fontId="2" fillId="3" borderId="13" xfId="0" applyNumberFormat="1" applyFont="1" applyFill="1" applyBorder="1" applyAlignment="1" applyProtection="1">
      <alignment horizontal="center"/>
      <protection locked="0"/>
    </xf>
    <xf numFmtId="0" fontId="2" fillId="3" borderId="14" xfId="0" applyNumberFormat="1" applyFont="1" applyFill="1" applyBorder="1" applyAlignment="1" applyProtection="1">
      <alignment horizontal="center"/>
      <protection locked="0"/>
    </xf>
    <xf numFmtId="0" fontId="3" fillId="3" borderId="8" xfId="0" applyNumberFormat="1" applyFont="1" applyFill="1" applyBorder="1" applyAlignment="1">
      <alignment horizontal="center"/>
    </xf>
    <xf numFmtId="1" fontId="3" fillId="3" borderId="1" xfId="0" applyFont="1" applyFill="1" applyBorder="1" applyAlignment="1">
      <alignment horizontal="center" wrapText="1"/>
    </xf>
    <xf numFmtId="1" fontId="3" fillId="3" borderId="2" xfId="0" applyFont="1" applyFill="1" applyBorder="1" applyAlignment="1">
      <alignment horizontal="center" wrapText="1"/>
    </xf>
    <xf numFmtId="0" fontId="0" fillId="3" borderId="19" xfId="0" applyNumberFormat="1" applyFill="1" applyBorder="1" applyAlignment="1" applyProtection="1">
      <alignment horizontal="left" wrapText="1"/>
      <protection locked="0"/>
    </xf>
    <xf numFmtId="0" fontId="0" fillId="3" borderId="20" xfId="0" applyNumberFormat="1" applyFill="1" applyBorder="1" applyProtection="1">
      <alignment horizontal="center" vertical="center"/>
      <protection locked="0"/>
    </xf>
    <xf numFmtId="0" fontId="0" fillId="3" borderId="19" xfId="0" applyNumberFormat="1" applyFill="1" applyBorder="1" applyAlignment="1" applyProtection="1">
      <alignment horizontal="left"/>
      <protection locked="0"/>
    </xf>
    <xf numFmtId="1" fontId="0" fillId="3" borderId="20" xfId="0" applyFill="1" applyBorder="1" applyAlignment="1" applyProtection="1">
      <alignment horizontal="left"/>
      <protection locked="0"/>
    </xf>
    <xf numFmtId="0" fontId="0" fillId="3" borderId="19" xfId="0" applyNumberFormat="1" applyFill="1" applyBorder="1" applyAlignment="1" applyProtection="1">
      <alignment horizontal="left" vertical="top" readingOrder="1"/>
      <protection locked="0"/>
    </xf>
    <xf numFmtId="0" fontId="0" fillId="3" borderId="20" xfId="0" applyNumberFormat="1" applyFill="1" applyBorder="1" applyAlignment="1" applyProtection="1">
      <alignment horizontal="left" vertical="top" readingOrder="1"/>
      <protection locked="0"/>
    </xf>
    <xf numFmtId="0" fontId="0" fillId="3" borderId="0" xfId="0" applyNumberFormat="1" applyFill="1" applyAlignment="1">
      <alignment horizontal="left"/>
    </xf>
    <xf numFmtId="0" fontId="0" fillId="3" borderId="0" xfId="0" applyNumberFormat="1" applyFill="1">
      <alignment horizontal="center" vertical="center"/>
    </xf>
    <xf numFmtId="0" fontId="0" fillId="3" borderId="21" xfId="0" applyNumberFormat="1" applyFill="1" applyBorder="1" applyAlignment="1" applyProtection="1">
      <alignment horizontal="left"/>
      <protection locked="0"/>
    </xf>
    <xf numFmtId="1" fontId="0" fillId="3" borderId="23" xfId="0" applyFill="1" applyBorder="1" applyAlignment="1" applyProtection="1">
      <alignment horizontal="left"/>
      <protection locked="0"/>
    </xf>
    <xf numFmtId="0" fontId="6" fillId="3" borderId="7" xfId="0" applyNumberFormat="1" applyFont="1" applyFill="1" applyBorder="1" applyAlignment="1">
      <alignment horizontal="center" vertical="center" wrapText="1" readingOrder="1"/>
    </xf>
    <xf numFmtId="0" fontId="6" fillId="3" borderId="14" xfId="0" applyNumberFormat="1" applyFont="1" applyFill="1" applyBorder="1" applyAlignment="1">
      <alignment horizontal="center" vertical="center" wrapText="1" readingOrder="1"/>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FF00"/>
    <pageSetUpPr fitToPage="1"/>
  </sheetPr>
  <dimension ref="A1:H59"/>
  <sheetViews>
    <sheetView tabSelected="1" zoomScale="75" zoomScaleNormal="75" workbookViewId="0">
      <selection activeCell="I17" sqref="I17"/>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8" ht="30.75" thickBot="1" x14ac:dyDescent="0.45">
      <c r="A1" s="106" t="s">
        <v>111</v>
      </c>
      <c r="B1" s="107" t="s">
        <v>116</v>
      </c>
      <c r="C1" s="108"/>
      <c r="D1" s="108"/>
      <c r="E1" s="109"/>
    </row>
    <row r="2" spans="1:8" s="4" customFormat="1" ht="23.25" x14ac:dyDescent="0.35">
      <c r="A2" s="110" t="s">
        <v>0</v>
      </c>
      <c r="B2" s="111" t="s">
        <v>1</v>
      </c>
      <c r="C2" s="111" t="s">
        <v>2</v>
      </c>
      <c r="D2" s="111" t="s">
        <v>3</v>
      </c>
      <c r="E2" s="112" t="s">
        <v>4</v>
      </c>
    </row>
    <row r="3" spans="1:8" ht="19.5" customHeight="1" x14ac:dyDescent="0.25">
      <c r="A3" s="94" t="s">
        <v>5</v>
      </c>
      <c r="B3" s="95">
        <v>8</v>
      </c>
      <c r="C3" s="96" t="s">
        <v>6</v>
      </c>
      <c r="D3" s="97">
        <v>0.19</v>
      </c>
      <c r="E3" s="98">
        <f t="shared" ref="E3:E10" si="0">SUM(B3*D3)</f>
        <v>1.52</v>
      </c>
    </row>
    <row r="4" spans="1:8" ht="19.5" customHeight="1" x14ac:dyDescent="0.25">
      <c r="A4" s="94" t="s">
        <v>7</v>
      </c>
      <c r="B4" s="99">
        <v>1</v>
      </c>
      <c r="C4" s="99" t="s">
        <v>8</v>
      </c>
      <c r="D4" s="97">
        <v>2.08</v>
      </c>
      <c r="E4" s="98">
        <f t="shared" si="0"/>
        <v>2.08</v>
      </c>
    </row>
    <row r="5" spans="1:8" ht="19.5" customHeight="1" x14ac:dyDescent="0.25">
      <c r="A5" s="94" t="s">
        <v>9</v>
      </c>
      <c r="B5" s="99">
        <v>4</v>
      </c>
      <c r="C5" s="99" t="s">
        <v>6</v>
      </c>
      <c r="D5" s="97">
        <v>7.0000000000000007E-2</v>
      </c>
      <c r="E5" s="98">
        <f t="shared" si="0"/>
        <v>0.28000000000000003</v>
      </c>
    </row>
    <row r="6" spans="1:8" ht="19.5" customHeight="1" x14ac:dyDescent="0.25">
      <c r="A6" s="94" t="s">
        <v>10</v>
      </c>
      <c r="B6" s="99">
        <v>3</v>
      </c>
      <c r="C6" s="99" t="s">
        <v>6</v>
      </c>
      <c r="D6" s="97">
        <v>0.16</v>
      </c>
      <c r="E6" s="98">
        <f t="shared" si="0"/>
        <v>0.48</v>
      </c>
    </row>
    <row r="7" spans="1:8" ht="19.5" customHeight="1" x14ac:dyDescent="0.25">
      <c r="A7" s="94" t="s">
        <v>11</v>
      </c>
      <c r="B7" s="95">
        <v>1</v>
      </c>
      <c r="C7" s="96" t="s">
        <v>12</v>
      </c>
      <c r="D7" s="97">
        <v>0.13</v>
      </c>
      <c r="E7" s="98">
        <f t="shared" si="0"/>
        <v>0.13</v>
      </c>
    </row>
    <row r="8" spans="1:8" ht="19.5" customHeight="1" x14ac:dyDescent="0.25">
      <c r="A8" s="94"/>
      <c r="B8" s="95"/>
      <c r="C8" s="96"/>
      <c r="D8" s="97"/>
      <c r="E8" s="98">
        <f t="shared" si="0"/>
        <v>0</v>
      </c>
    </row>
    <row r="9" spans="1:8" ht="19.5" customHeight="1" x14ac:dyDescent="0.25">
      <c r="A9" s="94"/>
      <c r="B9" s="95"/>
      <c r="C9" s="96"/>
      <c r="D9" s="97"/>
      <c r="E9" s="98">
        <f t="shared" si="0"/>
        <v>0</v>
      </c>
    </row>
    <row r="10" spans="1:8" ht="19.5" customHeight="1" x14ac:dyDescent="0.25">
      <c r="A10" s="94"/>
      <c r="B10" s="95"/>
      <c r="C10" s="96"/>
      <c r="D10" s="97"/>
      <c r="E10" s="98">
        <f t="shared" si="0"/>
        <v>0</v>
      </c>
    </row>
    <row r="11" spans="1:8" ht="19.5" customHeight="1" x14ac:dyDescent="0.25">
      <c r="A11" s="94"/>
      <c r="B11" s="100"/>
      <c r="C11" s="96"/>
      <c r="D11" s="97"/>
      <c r="E11" s="98"/>
    </row>
    <row r="12" spans="1:8" ht="19.5" customHeight="1" x14ac:dyDescent="0.25">
      <c r="A12" s="94"/>
      <c r="B12" s="100"/>
      <c r="C12" s="96"/>
      <c r="D12" s="97"/>
      <c r="E12" s="98"/>
    </row>
    <row r="13" spans="1:8" ht="19.5" customHeight="1" x14ac:dyDescent="0.25">
      <c r="A13" s="94"/>
      <c r="B13" s="100"/>
      <c r="C13" s="96"/>
      <c r="D13" s="97"/>
      <c r="E13" s="98"/>
    </row>
    <row r="14" spans="1:8" ht="19.5" customHeight="1" x14ac:dyDescent="0.25">
      <c r="A14" s="94"/>
      <c r="B14" s="100"/>
      <c r="C14" s="96"/>
      <c r="D14" s="97"/>
      <c r="E14" s="98"/>
    </row>
    <row r="15" spans="1:8" ht="19.5" customHeight="1" x14ac:dyDescent="0.25">
      <c r="A15" s="94"/>
      <c r="B15" s="100"/>
      <c r="C15" s="96"/>
      <c r="D15" s="97"/>
      <c r="E15" s="98"/>
      <c r="H15" s="93"/>
    </row>
    <row r="16" spans="1:8" ht="19.5" customHeight="1" x14ac:dyDescent="0.25">
      <c r="A16" s="94"/>
      <c r="B16" s="100"/>
      <c r="C16" s="96"/>
      <c r="D16" s="97"/>
      <c r="E16" s="98"/>
    </row>
    <row r="17" spans="1:5" ht="19.5" customHeight="1" x14ac:dyDescent="0.25">
      <c r="A17" s="94"/>
      <c r="B17" s="100"/>
      <c r="C17" s="96"/>
      <c r="D17" s="97"/>
      <c r="E17" s="98"/>
    </row>
    <row r="18" spans="1:5" ht="19.5" customHeight="1" x14ac:dyDescent="0.25">
      <c r="A18" s="94"/>
      <c r="B18" s="100"/>
      <c r="C18" s="96"/>
      <c r="D18" s="97"/>
      <c r="E18" s="98"/>
    </row>
    <row r="19" spans="1:5" ht="19.5" customHeight="1" x14ac:dyDescent="0.25">
      <c r="A19" s="94"/>
      <c r="B19" s="100"/>
      <c r="C19" s="96"/>
      <c r="D19" s="97"/>
      <c r="E19" s="98"/>
    </row>
    <row r="20" spans="1:5" ht="19.5" customHeight="1" x14ac:dyDescent="0.25">
      <c r="A20" s="94"/>
      <c r="B20" s="100"/>
      <c r="C20" s="96"/>
      <c r="D20" s="97"/>
      <c r="E20" s="98"/>
    </row>
    <row r="21" spans="1:5" ht="19.5" customHeight="1" x14ac:dyDescent="0.25">
      <c r="A21" s="94"/>
      <c r="B21" s="100"/>
      <c r="C21" s="96"/>
      <c r="D21" s="97"/>
      <c r="E21" s="98"/>
    </row>
    <row r="22" spans="1:5" ht="22.5" customHeight="1" x14ac:dyDescent="0.25">
      <c r="A22" s="94"/>
      <c r="B22" s="100"/>
      <c r="C22" s="96"/>
      <c r="D22" s="97"/>
      <c r="E22" s="98"/>
    </row>
    <row r="23" spans="1:5" ht="19.5" customHeight="1" thickBot="1" x14ac:dyDescent="0.3">
      <c r="A23" s="101"/>
      <c r="B23" s="102"/>
      <c r="C23" s="103"/>
      <c r="D23" s="104"/>
      <c r="E23" s="105"/>
    </row>
    <row r="24" spans="1:5" ht="17.25" customHeight="1" x14ac:dyDescent="0.35">
      <c r="A24" s="123" t="s">
        <v>13</v>
      </c>
      <c r="B24" s="124"/>
      <c r="C24" s="67" t="s">
        <v>14</v>
      </c>
      <c r="D24" s="68"/>
      <c r="E24" s="33">
        <v>1</v>
      </c>
    </row>
    <row r="25" spans="1:5" ht="89.25" customHeight="1" x14ac:dyDescent="0.35">
      <c r="A25" s="113" t="s">
        <v>15</v>
      </c>
      <c r="B25" s="114"/>
      <c r="C25" s="69" t="s">
        <v>16</v>
      </c>
      <c r="D25" s="70"/>
      <c r="E25" s="34" t="s">
        <v>17</v>
      </c>
    </row>
    <row r="26" spans="1:5" ht="21" customHeight="1" thickBot="1" x14ac:dyDescent="0.4">
      <c r="A26" s="115"/>
      <c r="B26" s="116"/>
      <c r="C26" s="82" t="s">
        <v>18</v>
      </c>
      <c r="D26" s="83"/>
      <c r="E26" s="35" t="s">
        <v>19</v>
      </c>
    </row>
    <row r="27" spans="1:5" ht="23.25" x14ac:dyDescent="0.2">
      <c r="A27" s="117"/>
      <c r="B27" s="118"/>
      <c r="C27" s="84" t="s">
        <v>20</v>
      </c>
      <c r="D27" s="85"/>
      <c r="E27" s="86"/>
    </row>
    <row r="28" spans="1:5" ht="27.75" customHeight="1" x14ac:dyDescent="0.25">
      <c r="A28" s="119"/>
      <c r="B28" s="120"/>
      <c r="C28" s="79"/>
      <c r="D28" s="80"/>
      <c r="E28" s="81"/>
    </row>
    <row r="29" spans="1:5" ht="18" customHeight="1" x14ac:dyDescent="0.25">
      <c r="A29" s="115"/>
      <c r="B29" s="116"/>
      <c r="C29" s="79"/>
      <c r="D29" s="80"/>
      <c r="E29" s="81"/>
    </row>
    <row r="30" spans="1:5" ht="18" x14ac:dyDescent="0.25">
      <c r="A30" s="117"/>
      <c r="B30" s="118"/>
      <c r="C30" s="79"/>
      <c r="D30" s="80"/>
      <c r="E30" s="81"/>
    </row>
    <row r="31" spans="1:5" ht="16.5" customHeight="1" x14ac:dyDescent="0.25">
      <c r="A31" s="115"/>
      <c r="B31" s="116"/>
      <c r="C31" s="79"/>
      <c r="D31" s="80"/>
      <c r="E31" s="81"/>
    </row>
    <row r="32" spans="1:5" ht="17.100000000000001" customHeight="1" thickBot="1" x14ac:dyDescent="0.3">
      <c r="A32" s="121"/>
      <c r="B32" s="122"/>
      <c r="C32" s="79"/>
      <c r="D32" s="80"/>
      <c r="E32" s="81"/>
    </row>
    <row r="33" spans="1:5" ht="22.5" customHeight="1" x14ac:dyDescent="0.35">
      <c r="A33" s="75" t="s">
        <v>21</v>
      </c>
      <c r="B33" s="76"/>
      <c r="C33" s="79" t="s">
        <v>22</v>
      </c>
      <c r="D33" s="80"/>
      <c r="E33" s="81"/>
    </row>
    <row r="34" spans="1:5" ht="17.100000000000001" customHeight="1" x14ac:dyDescent="0.25">
      <c r="A34" s="36"/>
      <c r="B34" s="37"/>
      <c r="C34" s="79"/>
      <c r="D34" s="80"/>
      <c r="E34" s="81"/>
    </row>
    <row r="35" spans="1:5" ht="17.100000000000001" customHeight="1" x14ac:dyDescent="0.25">
      <c r="A35" s="36"/>
      <c r="B35" s="37"/>
      <c r="C35" s="79"/>
      <c r="D35" s="80"/>
      <c r="E35" s="81"/>
    </row>
    <row r="36" spans="1:5" ht="16.5" customHeight="1" x14ac:dyDescent="0.25">
      <c r="A36" s="36"/>
      <c r="B36" s="37"/>
      <c r="C36" s="79"/>
      <c r="D36" s="80"/>
      <c r="E36" s="81"/>
    </row>
    <row r="37" spans="1:5" ht="16.5" customHeight="1" x14ac:dyDescent="0.25">
      <c r="A37" s="36"/>
      <c r="B37" s="37"/>
      <c r="C37" s="79"/>
      <c r="D37" s="80"/>
      <c r="E37" s="81"/>
    </row>
    <row r="38" spans="1:5" ht="16.5" customHeight="1" x14ac:dyDescent="0.25">
      <c r="A38" s="36"/>
      <c r="B38" s="37"/>
      <c r="C38" s="79"/>
      <c r="D38" s="80"/>
      <c r="E38" s="81"/>
    </row>
    <row r="39" spans="1:5" ht="16.5" customHeight="1" x14ac:dyDescent="0.25">
      <c r="A39" s="36"/>
      <c r="B39" s="37"/>
      <c r="C39" s="79"/>
      <c r="D39" s="80"/>
      <c r="E39" s="81"/>
    </row>
    <row r="40" spans="1:5" ht="16.5" customHeight="1" x14ac:dyDescent="0.25">
      <c r="A40" s="36"/>
      <c r="B40" s="37"/>
      <c r="C40" s="24"/>
      <c r="D40" s="25"/>
      <c r="E40" s="26"/>
    </row>
    <row r="41" spans="1:5" ht="16.5" customHeight="1" x14ac:dyDescent="0.25">
      <c r="A41" s="36"/>
      <c r="B41" s="37"/>
      <c r="C41" s="79"/>
      <c r="D41" s="80"/>
      <c r="E41" s="81"/>
    </row>
    <row r="42" spans="1:5" ht="16.5" customHeight="1" thickBot="1" x14ac:dyDescent="0.3">
      <c r="A42" s="36"/>
      <c r="B42" s="37"/>
      <c r="C42" s="27"/>
      <c r="D42" s="28"/>
      <c r="E42" s="29"/>
    </row>
    <row r="43" spans="1:5" ht="23.25" customHeight="1" x14ac:dyDescent="0.2">
      <c r="A43" s="36"/>
      <c r="B43" s="37"/>
      <c r="C43" s="84" t="s">
        <v>23</v>
      </c>
      <c r="D43" s="85"/>
      <c r="E43" s="86"/>
    </row>
    <row r="44" spans="1:5" ht="16.5" customHeight="1" x14ac:dyDescent="0.2">
      <c r="A44" s="36"/>
      <c r="B44" s="37"/>
      <c r="C44" s="53" t="s">
        <v>24</v>
      </c>
      <c r="D44" s="54"/>
      <c r="E44" s="55"/>
    </row>
    <row r="45" spans="1:5" ht="16.5" customHeight="1" x14ac:dyDescent="0.2">
      <c r="A45" s="36"/>
      <c r="B45" s="37"/>
      <c r="C45" s="53"/>
      <c r="D45" s="54"/>
      <c r="E45" s="55"/>
    </row>
    <row r="46" spans="1:5" ht="16.5" customHeight="1" x14ac:dyDescent="0.2">
      <c r="A46" s="36"/>
      <c r="B46" s="37"/>
      <c r="C46" s="53"/>
      <c r="D46" s="54"/>
      <c r="E46" s="55"/>
    </row>
    <row r="47" spans="1:5" ht="16.5" customHeight="1" x14ac:dyDescent="0.2">
      <c r="A47" s="36"/>
      <c r="B47" s="37"/>
      <c r="C47" s="53"/>
      <c r="D47" s="54"/>
      <c r="E47" s="55"/>
    </row>
    <row r="48" spans="1:5" ht="16.5" customHeight="1" x14ac:dyDescent="0.2">
      <c r="A48" s="36"/>
      <c r="B48" s="37"/>
      <c r="C48" s="53"/>
      <c r="D48" s="54"/>
      <c r="E48" s="55"/>
    </row>
    <row r="49" spans="1:5" ht="16.5" customHeight="1" x14ac:dyDescent="0.2">
      <c r="A49" s="36"/>
      <c r="B49" s="37"/>
      <c r="C49" s="53"/>
      <c r="D49" s="54"/>
      <c r="E49" s="55"/>
    </row>
    <row r="50" spans="1:5" ht="16.5" customHeight="1" x14ac:dyDescent="0.2">
      <c r="A50" s="36"/>
      <c r="B50" s="37"/>
      <c r="C50" s="53"/>
      <c r="D50" s="54"/>
      <c r="E50" s="55"/>
    </row>
    <row r="51" spans="1:5" ht="16.5" customHeight="1" thickBot="1" x14ac:dyDescent="0.25">
      <c r="A51" s="38"/>
      <c r="B51" s="39"/>
      <c r="C51" s="53"/>
      <c r="D51" s="54"/>
      <c r="E51" s="55"/>
    </row>
    <row r="52" spans="1:5" ht="23.25" x14ac:dyDescent="0.35">
      <c r="A52" s="60" t="s">
        <v>25</v>
      </c>
      <c r="B52" s="61"/>
      <c r="C52" s="56" t="s">
        <v>26</v>
      </c>
      <c r="D52" s="57"/>
      <c r="E52" s="11">
        <f>SUM(E3:E23)</f>
        <v>4.4899999999999993</v>
      </c>
    </row>
    <row r="53" spans="1:5" ht="18.75" customHeight="1" x14ac:dyDescent="0.25">
      <c r="A53" s="62" t="s">
        <v>27</v>
      </c>
      <c r="B53" s="63"/>
      <c r="C53" s="51" t="s">
        <v>28</v>
      </c>
      <c r="D53" s="52"/>
      <c r="E53" s="30">
        <v>1</v>
      </c>
    </row>
    <row r="54" spans="1:5" ht="18.75" customHeight="1" x14ac:dyDescent="0.25">
      <c r="A54" s="62" t="s">
        <v>29</v>
      </c>
      <c r="B54" s="63"/>
      <c r="C54" s="51" t="s">
        <v>30</v>
      </c>
      <c r="D54" s="52"/>
      <c r="E54" s="7">
        <f>SUM(E52/E53)</f>
        <v>4.4899999999999993</v>
      </c>
    </row>
    <row r="55" spans="1:5" ht="18.75" customHeight="1" x14ac:dyDescent="0.25">
      <c r="A55" s="62" t="s">
        <v>31</v>
      </c>
      <c r="B55" s="63"/>
      <c r="C55" s="51" t="s">
        <v>32</v>
      </c>
      <c r="D55" s="52"/>
      <c r="E55" s="31">
        <v>0.06</v>
      </c>
    </row>
    <row r="56" spans="1:5" ht="18.75" customHeight="1" x14ac:dyDescent="0.25">
      <c r="A56" s="62" t="s">
        <v>33</v>
      </c>
      <c r="B56" s="63"/>
      <c r="C56" s="51" t="s">
        <v>4</v>
      </c>
      <c r="D56" s="52"/>
      <c r="E56" s="7">
        <f>(+E54*E55)+E54</f>
        <v>4.7593999999999994</v>
      </c>
    </row>
    <row r="57" spans="1:5" ht="18.75" customHeight="1" x14ac:dyDescent="0.25">
      <c r="A57" s="62" t="s">
        <v>34</v>
      </c>
      <c r="B57" s="63"/>
      <c r="C57" s="51" t="s">
        <v>35</v>
      </c>
      <c r="D57" s="52"/>
      <c r="E57" s="32">
        <v>22</v>
      </c>
    </row>
    <row r="58" spans="1:5" ht="18.75" customHeight="1" thickBot="1" x14ac:dyDescent="0.3">
      <c r="A58" s="58" t="s">
        <v>36</v>
      </c>
      <c r="B58" s="59"/>
      <c r="C58" s="49" t="s">
        <v>37</v>
      </c>
      <c r="D58" s="50"/>
      <c r="E58" s="12">
        <f>SUM(E56/E57)</f>
        <v>0.2163363636363636</v>
      </c>
    </row>
    <row r="59" spans="1:5" ht="19.5" customHeight="1" x14ac:dyDescent="0.2"/>
  </sheetData>
  <mergeCells count="49">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 ref="A33:B33"/>
    <mergeCell ref="A30:B30"/>
    <mergeCell ref="C29:E29"/>
    <mergeCell ref="A26:B26"/>
    <mergeCell ref="C26:D26"/>
    <mergeCell ref="A27:B27"/>
    <mergeCell ref="C27:E27"/>
    <mergeCell ref="C28:E28"/>
    <mergeCell ref="C30:E30"/>
    <mergeCell ref="C32:E32"/>
    <mergeCell ref="C33:E33"/>
    <mergeCell ref="C31:E31"/>
    <mergeCell ref="A32:B32"/>
    <mergeCell ref="A31:B31"/>
    <mergeCell ref="B1:E1"/>
    <mergeCell ref="C24:D24"/>
    <mergeCell ref="C25:D25"/>
    <mergeCell ref="A24:B24"/>
    <mergeCell ref="A29:B29"/>
    <mergeCell ref="A58:B58"/>
    <mergeCell ref="A52:B52"/>
    <mergeCell ref="A53:B53"/>
    <mergeCell ref="A54:B54"/>
    <mergeCell ref="A55:B55"/>
    <mergeCell ref="A56:B56"/>
    <mergeCell ref="A57:B57"/>
    <mergeCell ref="C58:D58"/>
    <mergeCell ref="C56:D56"/>
    <mergeCell ref="C55:D55"/>
    <mergeCell ref="C57:D57"/>
    <mergeCell ref="C46:E46"/>
    <mergeCell ref="C47:E47"/>
    <mergeCell ref="C52:D52"/>
  </mergeCells>
  <phoneticPr fontId="9" type="noConversion"/>
  <printOptions horizontalCentered="1" verticalCentered="1"/>
  <pageMargins left="0" right="0" top="0.25" bottom="0.25" header="0.5" footer="0.5"/>
  <pageSetup scale="65" orientation="portrait" r:id="rId1"/>
  <headerFooter alignWithMargins="0"/>
  <ignoredErrors>
    <ignoredError sqref="E4"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F623-E673-400E-8E03-A305D1CD4993}">
  <sheetPr codeName="Sheet3">
    <tabColor rgb="FF00FF00"/>
    <pageSetUpPr fitToPage="1"/>
  </sheetPr>
  <dimension ref="A1:E59"/>
  <sheetViews>
    <sheetView zoomScale="75" zoomScaleNormal="75" workbookViewId="0">
      <selection activeCell="O11" sqref="O11"/>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111</v>
      </c>
      <c r="B1" s="64" t="s">
        <v>56</v>
      </c>
      <c r="C1" s="65"/>
      <c r="D1" s="65"/>
      <c r="E1" s="66"/>
    </row>
    <row r="2" spans="1:5" s="4" customFormat="1" ht="23.25" x14ac:dyDescent="0.35">
      <c r="A2" s="10" t="s">
        <v>0</v>
      </c>
      <c r="B2" s="2" t="s">
        <v>1</v>
      </c>
      <c r="C2" s="2" t="s">
        <v>2</v>
      </c>
      <c r="D2" s="2" t="s">
        <v>3</v>
      </c>
      <c r="E2" s="3" t="s">
        <v>4</v>
      </c>
    </row>
    <row r="3" spans="1:5" ht="19.5" customHeight="1" x14ac:dyDescent="0.25">
      <c r="A3" s="13" t="s">
        <v>57</v>
      </c>
      <c r="B3" s="14">
        <v>10</v>
      </c>
      <c r="C3" s="15" t="s">
        <v>6</v>
      </c>
      <c r="D3" s="16">
        <v>0.06</v>
      </c>
      <c r="E3" s="5">
        <f t="shared" ref="E3:E10" si="0">SUM(B3*D3)</f>
        <v>0.6</v>
      </c>
    </row>
    <row r="4" spans="1:5" ht="19.5" customHeight="1" x14ac:dyDescent="0.25">
      <c r="A4" s="13" t="s">
        <v>113</v>
      </c>
      <c r="B4" s="40">
        <v>8</v>
      </c>
      <c r="C4" s="40" t="s">
        <v>6</v>
      </c>
      <c r="D4" s="16">
        <v>0.11</v>
      </c>
      <c r="E4" s="5">
        <f t="shared" si="0"/>
        <v>0.88</v>
      </c>
    </row>
    <row r="5" spans="1:5" ht="19.5" customHeight="1" x14ac:dyDescent="0.25">
      <c r="A5" s="17" t="s">
        <v>58</v>
      </c>
      <c r="B5" s="40">
        <v>2</v>
      </c>
      <c r="C5" s="40" t="s">
        <v>6</v>
      </c>
      <c r="D5" s="16">
        <v>0.09</v>
      </c>
      <c r="E5" s="5">
        <f t="shared" si="0"/>
        <v>0.18</v>
      </c>
    </row>
    <row r="6" spans="1:5" ht="19.5" customHeight="1" x14ac:dyDescent="0.25">
      <c r="A6" s="13" t="s">
        <v>59</v>
      </c>
      <c r="B6" s="40">
        <v>2</v>
      </c>
      <c r="C6" s="40" t="s">
        <v>6</v>
      </c>
      <c r="D6" s="16">
        <v>0.21</v>
      </c>
      <c r="E6" s="5">
        <f t="shared" si="0"/>
        <v>0.42</v>
      </c>
    </row>
    <row r="7" spans="1:5" ht="19.5" customHeight="1" x14ac:dyDescent="0.25">
      <c r="A7" s="13"/>
      <c r="B7" s="14"/>
      <c r="C7" s="15"/>
      <c r="D7" s="16"/>
      <c r="E7" s="5">
        <f t="shared" si="0"/>
        <v>0</v>
      </c>
    </row>
    <row r="8" spans="1:5" ht="19.5" customHeight="1" x14ac:dyDescent="0.25">
      <c r="A8" s="13"/>
      <c r="B8" s="14"/>
      <c r="C8" s="15"/>
      <c r="D8" s="16"/>
      <c r="E8" s="5">
        <f t="shared" si="0"/>
        <v>0</v>
      </c>
    </row>
    <row r="9" spans="1:5" ht="19.5" customHeight="1" x14ac:dyDescent="0.25">
      <c r="A9" s="13"/>
      <c r="B9" s="14"/>
      <c r="C9" s="15"/>
      <c r="D9" s="16"/>
      <c r="E9" s="5">
        <f t="shared" si="0"/>
        <v>0</v>
      </c>
    </row>
    <row r="10" spans="1:5" ht="19.5" customHeight="1" x14ac:dyDescent="0.25">
      <c r="A10" s="13"/>
      <c r="B10" s="14"/>
      <c r="C10" s="15"/>
      <c r="D10" s="16"/>
      <c r="E10" s="5">
        <f t="shared" si="0"/>
        <v>0</v>
      </c>
    </row>
    <row r="11" spans="1:5" ht="19.5" customHeight="1" x14ac:dyDescent="0.25">
      <c r="A11" s="13"/>
      <c r="B11" s="18"/>
      <c r="C11" s="15"/>
      <c r="D11" s="16"/>
      <c r="E11" s="5"/>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71" t="s">
        <v>13</v>
      </c>
      <c r="B24" s="72"/>
      <c r="C24" s="67" t="s">
        <v>14</v>
      </c>
      <c r="D24" s="68"/>
      <c r="E24" s="33">
        <v>1</v>
      </c>
    </row>
    <row r="25" spans="1:5" ht="89.25" customHeight="1" x14ac:dyDescent="0.35">
      <c r="A25" s="41" t="s">
        <v>60</v>
      </c>
      <c r="B25" s="23"/>
      <c r="C25" s="69" t="s">
        <v>16</v>
      </c>
      <c r="D25" s="70"/>
      <c r="E25" s="34" t="s">
        <v>17</v>
      </c>
    </row>
    <row r="26" spans="1:5" ht="21" customHeight="1" thickBot="1" x14ac:dyDescent="0.4">
      <c r="A26" s="73" t="s">
        <v>61</v>
      </c>
      <c r="B26" s="74"/>
      <c r="C26" s="82" t="s">
        <v>18</v>
      </c>
      <c r="D26" s="83"/>
      <c r="E26" s="35" t="s">
        <v>19</v>
      </c>
    </row>
    <row r="27" spans="1:5" ht="23.25" x14ac:dyDescent="0.2">
      <c r="A27" s="77" t="s">
        <v>62</v>
      </c>
      <c r="B27" s="78"/>
      <c r="C27" s="84" t="s">
        <v>20</v>
      </c>
      <c r="D27" s="85"/>
      <c r="E27" s="86"/>
    </row>
    <row r="28" spans="1:5" ht="27.75" customHeight="1" x14ac:dyDescent="0.25">
      <c r="A28" s="73" t="s">
        <v>63</v>
      </c>
      <c r="B28" s="74"/>
      <c r="C28" s="79"/>
      <c r="D28" s="80"/>
      <c r="E28" s="81"/>
    </row>
    <row r="29" spans="1:5" ht="18" customHeight="1" x14ac:dyDescent="0.25">
      <c r="A29" s="73" t="s">
        <v>64</v>
      </c>
      <c r="B29" s="74"/>
      <c r="C29" s="79"/>
      <c r="D29" s="80"/>
      <c r="E29" s="81"/>
    </row>
    <row r="30" spans="1:5" ht="18" x14ac:dyDescent="0.25">
      <c r="A30" s="77"/>
      <c r="B30" s="78"/>
      <c r="C30" s="79"/>
      <c r="D30" s="80"/>
      <c r="E30" s="81"/>
    </row>
    <row r="31" spans="1:5" ht="17.100000000000001" customHeight="1" x14ac:dyDescent="0.25">
      <c r="A31" s="73"/>
      <c r="B31" s="74"/>
      <c r="C31" s="79"/>
      <c r="D31" s="80"/>
      <c r="E31" s="81"/>
    </row>
    <row r="32" spans="1:5" ht="17.100000000000001" customHeight="1" thickBot="1" x14ac:dyDescent="0.3">
      <c r="A32" s="87"/>
      <c r="B32" s="88"/>
      <c r="C32" s="79"/>
      <c r="D32" s="80"/>
      <c r="E32" s="81"/>
    </row>
    <row r="33" spans="1:5" ht="22.5" customHeight="1" x14ac:dyDescent="0.35">
      <c r="A33" s="75" t="s">
        <v>21</v>
      </c>
      <c r="B33" s="76"/>
      <c r="C33" s="79" t="s">
        <v>22</v>
      </c>
      <c r="D33" s="80"/>
      <c r="E33" s="81"/>
    </row>
    <row r="34" spans="1:5" ht="17.100000000000001" customHeight="1" x14ac:dyDescent="0.25">
      <c r="A34" s="36"/>
      <c r="B34" s="37"/>
      <c r="C34" s="79"/>
      <c r="D34" s="80"/>
      <c r="E34" s="81"/>
    </row>
    <row r="35" spans="1:5" ht="17.100000000000001" customHeight="1" x14ac:dyDescent="0.25">
      <c r="A35" s="36"/>
      <c r="B35" s="37"/>
      <c r="C35" s="79"/>
      <c r="D35" s="80"/>
      <c r="E35" s="81"/>
    </row>
    <row r="36" spans="1:5" ht="16.5" customHeight="1" x14ac:dyDescent="0.25">
      <c r="A36" s="36"/>
      <c r="B36" s="37"/>
      <c r="C36" s="79"/>
      <c r="D36" s="80"/>
      <c r="E36" s="81"/>
    </row>
    <row r="37" spans="1:5" ht="16.5" customHeight="1" x14ac:dyDescent="0.25">
      <c r="A37" s="36"/>
      <c r="B37" s="37"/>
      <c r="C37" s="79"/>
      <c r="D37" s="80"/>
      <c r="E37" s="81"/>
    </row>
    <row r="38" spans="1:5" ht="16.5" customHeight="1" x14ac:dyDescent="0.25">
      <c r="A38" s="36"/>
      <c r="B38" s="37"/>
      <c r="C38" s="79"/>
      <c r="D38" s="80"/>
      <c r="E38" s="81"/>
    </row>
    <row r="39" spans="1:5" ht="16.5" customHeight="1" x14ac:dyDescent="0.25">
      <c r="A39" s="36"/>
      <c r="B39" s="37"/>
      <c r="C39" s="79"/>
      <c r="D39" s="80"/>
      <c r="E39" s="81"/>
    </row>
    <row r="40" spans="1:5" ht="16.5" customHeight="1" x14ac:dyDescent="0.25">
      <c r="A40" s="36"/>
      <c r="B40" s="37"/>
      <c r="C40" s="24"/>
      <c r="D40" s="25"/>
      <c r="E40" s="26"/>
    </row>
    <row r="41" spans="1:5" ht="16.5" customHeight="1" x14ac:dyDescent="0.25">
      <c r="A41" s="36"/>
      <c r="B41" s="37"/>
      <c r="C41" s="79"/>
      <c r="D41" s="80"/>
      <c r="E41" s="81"/>
    </row>
    <row r="42" spans="1:5" ht="16.5" customHeight="1" thickBot="1" x14ac:dyDescent="0.3">
      <c r="A42" s="36"/>
      <c r="B42" s="37"/>
      <c r="C42" s="27"/>
      <c r="D42" s="28"/>
      <c r="E42" s="29"/>
    </row>
    <row r="43" spans="1:5" ht="23.25" customHeight="1" x14ac:dyDescent="0.2">
      <c r="A43" s="36"/>
      <c r="B43" s="37"/>
      <c r="C43" s="84" t="s">
        <v>23</v>
      </c>
      <c r="D43" s="85"/>
      <c r="E43" s="86"/>
    </row>
    <row r="44" spans="1:5" ht="16.5" customHeight="1" x14ac:dyDescent="0.2">
      <c r="A44" s="36"/>
      <c r="B44" s="37"/>
      <c r="C44" s="53" t="s">
        <v>24</v>
      </c>
      <c r="D44" s="54"/>
      <c r="E44" s="55"/>
    </row>
    <row r="45" spans="1:5" ht="16.5" customHeight="1" x14ac:dyDescent="0.2">
      <c r="A45" s="36"/>
      <c r="B45" s="37"/>
      <c r="C45" s="53"/>
      <c r="D45" s="54"/>
      <c r="E45" s="55"/>
    </row>
    <row r="46" spans="1:5" ht="16.5" customHeight="1" x14ac:dyDescent="0.2">
      <c r="A46" s="36"/>
      <c r="B46" s="37"/>
      <c r="C46" s="53"/>
      <c r="D46" s="54"/>
      <c r="E46" s="55"/>
    </row>
    <row r="47" spans="1:5" ht="16.5" customHeight="1" x14ac:dyDescent="0.2">
      <c r="A47" s="36"/>
      <c r="B47" s="37"/>
      <c r="C47" s="53"/>
      <c r="D47" s="54"/>
      <c r="E47" s="55"/>
    </row>
    <row r="48" spans="1:5" ht="16.5" customHeight="1" x14ac:dyDescent="0.2">
      <c r="A48" s="36"/>
      <c r="B48" s="37"/>
      <c r="C48" s="53"/>
      <c r="D48" s="54"/>
      <c r="E48" s="55"/>
    </row>
    <row r="49" spans="1:5" ht="16.5" customHeight="1" x14ac:dyDescent="0.2">
      <c r="A49" s="36"/>
      <c r="B49" s="37"/>
      <c r="C49" s="53"/>
      <c r="D49" s="54"/>
      <c r="E49" s="55"/>
    </row>
    <row r="50" spans="1:5" ht="16.5" customHeight="1" x14ac:dyDescent="0.2">
      <c r="A50" s="36"/>
      <c r="B50" s="37"/>
      <c r="C50" s="53"/>
      <c r="D50" s="54"/>
      <c r="E50" s="55"/>
    </row>
    <row r="51" spans="1:5" ht="16.5" customHeight="1" thickBot="1" x14ac:dyDescent="0.25">
      <c r="A51" s="38"/>
      <c r="B51" s="39"/>
      <c r="C51" s="53"/>
      <c r="D51" s="54"/>
      <c r="E51" s="55"/>
    </row>
    <row r="52" spans="1:5" ht="23.25" x14ac:dyDescent="0.35">
      <c r="A52" s="60" t="s">
        <v>25</v>
      </c>
      <c r="B52" s="61"/>
      <c r="C52" s="56" t="s">
        <v>114</v>
      </c>
      <c r="D52" s="57"/>
      <c r="E52" s="11">
        <f>SUM(E3:E23)</f>
        <v>2.08</v>
      </c>
    </row>
    <row r="53" spans="1:5" ht="18.75" customHeight="1" x14ac:dyDescent="0.25">
      <c r="A53" s="62" t="s">
        <v>27</v>
      </c>
      <c r="B53" s="63"/>
      <c r="C53" s="51" t="s">
        <v>28</v>
      </c>
      <c r="D53" s="52"/>
      <c r="E53" s="30">
        <v>1</v>
      </c>
    </row>
    <row r="54" spans="1:5" ht="18.75" customHeight="1" x14ac:dyDescent="0.25">
      <c r="A54" s="62" t="s">
        <v>29</v>
      </c>
      <c r="B54" s="63"/>
      <c r="C54" s="51" t="s">
        <v>30</v>
      </c>
      <c r="D54" s="52"/>
      <c r="E54" s="7">
        <f>SUM(E52/E53)</f>
        <v>2.08</v>
      </c>
    </row>
    <row r="55" spans="1:5" ht="18.75" customHeight="1" x14ac:dyDescent="0.25">
      <c r="A55" s="62" t="s">
        <v>31</v>
      </c>
      <c r="B55" s="63"/>
      <c r="C55" s="51" t="s">
        <v>32</v>
      </c>
      <c r="D55" s="52"/>
      <c r="E55" s="31">
        <v>0</v>
      </c>
    </row>
    <row r="56" spans="1:5" ht="18.75" customHeight="1" x14ac:dyDescent="0.25">
      <c r="A56" s="62" t="s">
        <v>33</v>
      </c>
      <c r="B56" s="63"/>
      <c r="C56" s="51" t="s">
        <v>4</v>
      </c>
      <c r="D56" s="52"/>
      <c r="E56" s="7">
        <f>(+E54*E55)+E54</f>
        <v>2.08</v>
      </c>
    </row>
    <row r="57" spans="1:5" ht="18.75" customHeight="1" x14ac:dyDescent="0.25">
      <c r="A57" s="62" t="s">
        <v>34</v>
      </c>
      <c r="B57" s="63"/>
      <c r="C57" s="51" t="s">
        <v>35</v>
      </c>
      <c r="D57" s="52"/>
      <c r="E57" s="32"/>
    </row>
    <row r="58" spans="1:5" ht="18.75" customHeight="1" thickBot="1" x14ac:dyDescent="0.3">
      <c r="A58" s="58" t="s">
        <v>36</v>
      </c>
      <c r="B58" s="59"/>
      <c r="C58" s="49" t="s">
        <v>37</v>
      </c>
      <c r="D58" s="50"/>
      <c r="E58" s="1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A30:B30"/>
    <mergeCell ref="C30:E30"/>
    <mergeCell ref="A31:B31"/>
    <mergeCell ref="C31:E31"/>
    <mergeCell ref="A32:B32"/>
    <mergeCell ref="C32:E32"/>
    <mergeCell ref="A33:B33"/>
    <mergeCell ref="C33:E33"/>
    <mergeCell ref="C34:E34"/>
    <mergeCell ref="C35:E35"/>
    <mergeCell ref="C36:E36"/>
    <mergeCell ref="C37:E37"/>
    <mergeCell ref="C38:E38"/>
    <mergeCell ref="C39:E39"/>
    <mergeCell ref="C41:E41"/>
    <mergeCell ref="C43:E43"/>
    <mergeCell ref="C44:E44"/>
    <mergeCell ref="C45:E45"/>
    <mergeCell ref="C46:E46"/>
    <mergeCell ref="C47:E47"/>
    <mergeCell ref="C48:E48"/>
    <mergeCell ref="C49:E49"/>
    <mergeCell ref="C50:E50"/>
    <mergeCell ref="C51:E51"/>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596CF-C1BC-4879-A16E-5F8A10B88DC6}">
  <sheetPr codeName="Sheet2">
    <tabColor rgb="FF0000FF"/>
    <pageSetUpPr fitToPage="1"/>
  </sheetPr>
  <dimension ref="A1:E53"/>
  <sheetViews>
    <sheetView zoomScale="75" zoomScaleNormal="75" workbookViewId="0">
      <selection activeCell="F4" sqref="F4"/>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112</v>
      </c>
      <c r="B1" s="64" t="s">
        <v>115</v>
      </c>
      <c r="C1" s="65"/>
      <c r="D1" s="65"/>
      <c r="E1" s="66"/>
    </row>
    <row r="2" spans="1:5" s="4" customFormat="1" ht="23.25" x14ac:dyDescent="0.35">
      <c r="A2" s="10" t="s">
        <v>0</v>
      </c>
      <c r="B2" s="2" t="s">
        <v>1</v>
      </c>
      <c r="C2" s="2" t="s">
        <v>2</v>
      </c>
      <c r="D2" s="2" t="s">
        <v>3</v>
      </c>
      <c r="E2" s="3" t="s">
        <v>4</v>
      </c>
    </row>
    <row r="3" spans="1:5" ht="19.5" customHeight="1" x14ac:dyDescent="0.25">
      <c r="A3" s="42" t="s">
        <v>38</v>
      </c>
      <c r="B3" s="44">
        <v>10</v>
      </c>
      <c r="C3" s="43" t="s">
        <v>39</v>
      </c>
      <c r="D3" s="16">
        <v>1.87</v>
      </c>
      <c r="E3" s="45">
        <v>18.7</v>
      </c>
    </row>
    <row r="4" spans="1:5" ht="19.5" customHeight="1" x14ac:dyDescent="0.25">
      <c r="A4" s="42" t="s">
        <v>40</v>
      </c>
      <c r="B4" s="44">
        <v>3</v>
      </c>
      <c r="C4" s="43" t="s">
        <v>6</v>
      </c>
      <c r="D4" s="16">
        <v>0.11</v>
      </c>
      <c r="E4" s="45">
        <v>0.33</v>
      </c>
    </row>
    <row r="5" spans="1:5" ht="19.5" customHeight="1" x14ac:dyDescent="0.25">
      <c r="A5" s="42" t="s">
        <v>41</v>
      </c>
      <c r="B5" s="44">
        <v>2</v>
      </c>
      <c r="C5" s="43" t="s">
        <v>6</v>
      </c>
      <c r="D5" s="16">
        <v>0.28000000000000003</v>
      </c>
      <c r="E5" s="45">
        <v>0.56000000000000005</v>
      </c>
    </row>
    <row r="6" spans="1:5" ht="19.5" customHeight="1" x14ac:dyDescent="0.25">
      <c r="A6" s="42" t="s">
        <v>42</v>
      </c>
      <c r="B6" s="44">
        <v>4</v>
      </c>
      <c r="C6" s="43" t="s">
        <v>6</v>
      </c>
      <c r="D6" s="16">
        <v>1.46</v>
      </c>
      <c r="E6" s="45">
        <v>5.84</v>
      </c>
    </row>
    <row r="7" spans="1:5" ht="19.5" customHeight="1" x14ac:dyDescent="0.25">
      <c r="A7" s="42" t="s">
        <v>43</v>
      </c>
      <c r="B7" s="44">
        <v>2</v>
      </c>
      <c r="C7" s="43" t="s">
        <v>6</v>
      </c>
      <c r="D7" s="16">
        <v>0.72</v>
      </c>
      <c r="E7" s="45">
        <v>1.44</v>
      </c>
    </row>
    <row r="8" spans="1:5" ht="19.5" customHeight="1" x14ac:dyDescent="0.25">
      <c r="A8" s="42" t="s">
        <v>44</v>
      </c>
      <c r="B8" s="44">
        <v>2</v>
      </c>
      <c r="C8" s="43" t="s">
        <v>45</v>
      </c>
      <c r="D8" s="16">
        <v>0.11</v>
      </c>
      <c r="E8" s="45">
        <v>0.22</v>
      </c>
    </row>
    <row r="9" spans="1:5" ht="19.5" customHeight="1" x14ac:dyDescent="0.25">
      <c r="A9" s="42" t="s">
        <v>46</v>
      </c>
      <c r="B9" s="44">
        <v>2</v>
      </c>
      <c r="C9" s="43" t="s">
        <v>45</v>
      </c>
      <c r="D9" s="16">
        <v>0.43</v>
      </c>
      <c r="E9" s="45">
        <v>0.86</v>
      </c>
    </row>
    <row r="10" spans="1:5" ht="19.5" customHeight="1" x14ac:dyDescent="0.25">
      <c r="A10" s="42" t="s">
        <v>47</v>
      </c>
      <c r="B10" s="44">
        <v>2</v>
      </c>
      <c r="C10" s="43" t="s">
        <v>45</v>
      </c>
      <c r="D10" s="16">
        <v>0.33</v>
      </c>
      <c r="E10" s="45">
        <v>0.66</v>
      </c>
    </row>
    <row r="11" spans="1:5" ht="19.5" customHeight="1" x14ac:dyDescent="0.25">
      <c r="A11" s="42" t="s">
        <v>48</v>
      </c>
      <c r="B11" s="44">
        <v>1</v>
      </c>
      <c r="C11" s="43" t="s">
        <v>45</v>
      </c>
      <c r="D11" s="16">
        <v>0.2</v>
      </c>
      <c r="E11" s="45">
        <v>0.2</v>
      </c>
    </row>
    <row r="12" spans="1:5" ht="19.5" customHeight="1" x14ac:dyDescent="0.25">
      <c r="A12" s="42" t="s">
        <v>49</v>
      </c>
      <c r="B12" s="44">
        <v>2</v>
      </c>
      <c r="C12" s="43" t="s">
        <v>45</v>
      </c>
      <c r="D12" s="16">
        <v>0.19</v>
      </c>
      <c r="E12" s="45">
        <v>0.19</v>
      </c>
    </row>
    <row r="13" spans="1:5" ht="19.5" customHeight="1" x14ac:dyDescent="0.25">
      <c r="A13" s="42" t="s">
        <v>50</v>
      </c>
      <c r="B13" s="44">
        <v>1</v>
      </c>
      <c r="C13" s="43" t="s">
        <v>45</v>
      </c>
      <c r="D13" s="16">
        <v>0.3</v>
      </c>
      <c r="E13" s="45">
        <v>0.3</v>
      </c>
    </row>
    <row r="14" spans="1:5" ht="19.5" customHeight="1" x14ac:dyDescent="0.25">
      <c r="A14" s="46" t="s">
        <v>51</v>
      </c>
      <c r="B14" s="14">
        <v>1.5</v>
      </c>
      <c r="C14" s="15" t="s">
        <v>52</v>
      </c>
      <c r="D14" s="16">
        <v>0.1</v>
      </c>
      <c r="E14" s="45">
        <v>0.15</v>
      </c>
    </row>
    <row r="15" spans="1:5" ht="19.5" customHeight="1" x14ac:dyDescent="0.25">
      <c r="A15" s="46" t="s">
        <v>53</v>
      </c>
      <c r="B15" s="18">
        <v>2</v>
      </c>
      <c r="C15" s="15" t="s">
        <v>52</v>
      </c>
      <c r="D15" s="16">
        <v>0.15</v>
      </c>
      <c r="E15" s="45">
        <v>0.3</v>
      </c>
    </row>
    <row r="16" spans="1:5" ht="19.5" customHeight="1" x14ac:dyDescent="0.25">
      <c r="A16" s="46" t="s">
        <v>54</v>
      </c>
      <c r="B16" s="18">
        <v>2</v>
      </c>
      <c r="C16" s="15" t="s">
        <v>52</v>
      </c>
      <c r="D16" s="16">
        <v>0.18</v>
      </c>
      <c r="E16" s="45">
        <v>0.36</v>
      </c>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71" t="s">
        <v>13</v>
      </c>
      <c r="B24" s="72"/>
      <c r="C24" s="67" t="s">
        <v>14</v>
      </c>
      <c r="D24" s="68"/>
      <c r="E24" s="33">
        <v>10</v>
      </c>
    </row>
    <row r="25" spans="1:5" ht="409.6" customHeight="1" x14ac:dyDescent="0.35">
      <c r="A25" s="48" t="s">
        <v>55</v>
      </c>
      <c r="B25" s="23"/>
      <c r="C25" s="69" t="s">
        <v>16</v>
      </c>
      <c r="D25" s="70"/>
      <c r="E25" s="34" t="s">
        <v>39</v>
      </c>
    </row>
    <row r="26" spans="1:5" ht="21" customHeight="1" thickBot="1" x14ac:dyDescent="0.4">
      <c r="A26" s="73"/>
      <c r="B26" s="74"/>
      <c r="C26" s="82" t="s">
        <v>18</v>
      </c>
      <c r="D26" s="83"/>
      <c r="E26" s="35" t="s">
        <v>19</v>
      </c>
    </row>
    <row r="27" spans="1:5" ht="22.5" customHeight="1" x14ac:dyDescent="0.35">
      <c r="A27" s="89" t="s">
        <v>21</v>
      </c>
      <c r="B27" s="90"/>
      <c r="C27" s="79" t="s">
        <v>22</v>
      </c>
      <c r="D27" s="80"/>
      <c r="E27" s="81"/>
    </row>
    <row r="28" spans="1:5" ht="17.100000000000001" customHeight="1" x14ac:dyDescent="0.25">
      <c r="A28" s="36"/>
      <c r="B28" s="37"/>
      <c r="C28" s="79"/>
      <c r="D28" s="80"/>
      <c r="E28" s="81"/>
    </row>
    <row r="29" spans="1:5" ht="17.100000000000001" customHeight="1" x14ac:dyDescent="0.25">
      <c r="A29" s="36"/>
      <c r="B29" s="37"/>
      <c r="C29" s="79"/>
      <c r="D29" s="80"/>
      <c r="E29" s="81"/>
    </row>
    <row r="30" spans="1:5" ht="16.5" customHeight="1" x14ac:dyDescent="0.25">
      <c r="A30" s="36"/>
      <c r="B30" s="37"/>
      <c r="C30" s="79"/>
      <c r="D30" s="80"/>
      <c r="E30" s="81"/>
    </row>
    <row r="31" spans="1:5" ht="16.5" customHeight="1" x14ac:dyDescent="0.25">
      <c r="A31" s="36"/>
      <c r="B31" s="37"/>
      <c r="C31" s="79"/>
      <c r="D31" s="80"/>
      <c r="E31" s="81"/>
    </row>
    <row r="32" spans="1:5" ht="16.5" customHeight="1" x14ac:dyDescent="0.25">
      <c r="A32" s="36"/>
      <c r="B32" s="37"/>
      <c r="C32" s="79"/>
      <c r="D32" s="80"/>
      <c r="E32" s="81"/>
    </row>
    <row r="33" spans="1:5" ht="16.5" customHeight="1" x14ac:dyDescent="0.25">
      <c r="A33" s="36"/>
      <c r="B33" s="37"/>
      <c r="C33" s="79"/>
      <c r="D33" s="80"/>
      <c r="E33" s="81"/>
    </row>
    <row r="34" spans="1:5" ht="16.5" customHeight="1" x14ac:dyDescent="0.25">
      <c r="A34" s="36"/>
      <c r="B34" s="37"/>
      <c r="C34" s="24"/>
      <c r="D34" s="25"/>
      <c r="E34" s="26"/>
    </row>
    <row r="35" spans="1:5" ht="16.5" customHeight="1" x14ac:dyDescent="0.25">
      <c r="A35" s="36"/>
      <c r="B35" s="37"/>
      <c r="C35" s="79"/>
      <c r="D35" s="80"/>
      <c r="E35" s="81"/>
    </row>
    <row r="36" spans="1:5" ht="16.5" customHeight="1" thickBot="1" x14ac:dyDescent="0.3">
      <c r="A36" s="36"/>
      <c r="B36" s="37"/>
      <c r="C36" s="27"/>
      <c r="D36" s="28"/>
      <c r="E36" s="29"/>
    </row>
    <row r="37" spans="1:5" ht="23.25" customHeight="1" x14ac:dyDescent="0.2">
      <c r="A37" s="36"/>
      <c r="B37" s="37"/>
      <c r="C37" s="84" t="s">
        <v>23</v>
      </c>
      <c r="D37" s="85"/>
      <c r="E37" s="86"/>
    </row>
    <row r="38" spans="1:5" ht="16.5" customHeight="1" x14ac:dyDescent="0.2">
      <c r="A38" s="36"/>
      <c r="B38" s="37"/>
      <c r="C38" s="53" t="s">
        <v>24</v>
      </c>
      <c r="D38" s="54"/>
      <c r="E38" s="55"/>
    </row>
    <row r="39" spans="1:5" ht="16.5" customHeight="1" x14ac:dyDescent="0.2">
      <c r="A39" s="36"/>
      <c r="B39" s="37"/>
      <c r="C39" s="53"/>
      <c r="D39" s="54"/>
      <c r="E39" s="55"/>
    </row>
    <row r="40" spans="1:5" ht="16.5" customHeight="1" x14ac:dyDescent="0.2">
      <c r="A40" s="36"/>
      <c r="B40" s="37"/>
      <c r="C40" s="53"/>
      <c r="D40" s="54"/>
      <c r="E40" s="55"/>
    </row>
    <row r="41" spans="1:5" ht="16.5" customHeight="1" x14ac:dyDescent="0.2">
      <c r="A41" s="36"/>
      <c r="B41" s="37"/>
      <c r="C41" s="53"/>
      <c r="D41" s="54"/>
      <c r="E41" s="55"/>
    </row>
    <row r="42" spans="1:5" ht="16.5" customHeight="1" x14ac:dyDescent="0.2">
      <c r="A42" s="36"/>
      <c r="B42" s="37"/>
      <c r="C42" s="53"/>
      <c r="D42" s="54"/>
      <c r="E42" s="55"/>
    </row>
    <row r="43" spans="1:5" ht="16.5" customHeight="1" x14ac:dyDescent="0.2">
      <c r="A43" s="36"/>
      <c r="B43" s="37"/>
      <c r="C43" s="53"/>
      <c r="D43" s="54"/>
      <c r="E43" s="55"/>
    </row>
    <row r="44" spans="1:5" ht="16.5" customHeight="1" x14ac:dyDescent="0.2">
      <c r="A44" s="36"/>
      <c r="B44" s="37"/>
      <c r="C44" s="53"/>
      <c r="D44" s="54"/>
      <c r="E44" s="55"/>
    </row>
    <row r="45" spans="1:5" ht="24.75" customHeight="1" thickBot="1" x14ac:dyDescent="0.25">
      <c r="A45" s="38"/>
      <c r="B45" s="39"/>
      <c r="C45" s="53"/>
      <c r="D45" s="54"/>
      <c r="E45" s="55"/>
    </row>
    <row r="46" spans="1:5" ht="23.25" x14ac:dyDescent="0.35">
      <c r="A46" s="60" t="s">
        <v>25</v>
      </c>
      <c r="B46" s="61"/>
      <c r="C46" s="56" t="s">
        <v>26</v>
      </c>
      <c r="D46" s="57"/>
      <c r="E46" s="11">
        <f>SUM(E3:E23)</f>
        <v>30.109999999999996</v>
      </c>
    </row>
    <row r="47" spans="1:5" ht="18.75" customHeight="1" x14ac:dyDescent="0.25">
      <c r="A47" s="62" t="s">
        <v>27</v>
      </c>
      <c r="B47" s="63"/>
      <c r="C47" s="51" t="s">
        <v>28</v>
      </c>
      <c r="D47" s="52"/>
      <c r="E47" s="30">
        <v>160</v>
      </c>
    </row>
    <row r="48" spans="1:5" ht="18.75" customHeight="1" x14ac:dyDescent="0.25">
      <c r="A48" s="62" t="s">
        <v>29</v>
      </c>
      <c r="B48" s="63"/>
      <c r="C48" s="51" t="s">
        <v>30</v>
      </c>
      <c r="D48" s="52"/>
      <c r="E48" s="7">
        <f>SUM(E46/E47)</f>
        <v>0.18818749999999998</v>
      </c>
    </row>
    <row r="49" spans="1:5" ht="18.75" customHeight="1" x14ac:dyDescent="0.25">
      <c r="A49" s="62" t="s">
        <v>31</v>
      </c>
      <c r="B49" s="63"/>
      <c r="C49" s="51" t="s">
        <v>32</v>
      </c>
      <c r="D49" s="52"/>
      <c r="E49" s="31">
        <v>0</v>
      </c>
    </row>
    <row r="50" spans="1:5" ht="18.75" customHeight="1" x14ac:dyDescent="0.25">
      <c r="A50" s="62" t="s">
        <v>33</v>
      </c>
      <c r="B50" s="63"/>
      <c r="C50" s="51" t="s">
        <v>4</v>
      </c>
      <c r="D50" s="52"/>
      <c r="E50" s="7">
        <f>(+E48*E49)+E48</f>
        <v>0.18818749999999998</v>
      </c>
    </row>
    <row r="51" spans="1:5" ht="18.75" customHeight="1" x14ac:dyDescent="0.25">
      <c r="A51" s="62" t="s">
        <v>34</v>
      </c>
      <c r="B51" s="63"/>
      <c r="C51" s="51" t="s">
        <v>35</v>
      </c>
      <c r="D51" s="52"/>
      <c r="E51" s="32"/>
    </row>
    <row r="52" spans="1:5" ht="18.75" customHeight="1" thickBot="1" x14ac:dyDescent="0.3">
      <c r="A52" s="58" t="s">
        <v>36</v>
      </c>
      <c r="B52" s="59"/>
      <c r="C52" s="49" t="s">
        <v>37</v>
      </c>
      <c r="D52" s="50"/>
      <c r="E52" s="12" t="e">
        <f>SUM(E50/E51)</f>
        <v>#DIV/0!</v>
      </c>
    </row>
    <row r="53" spans="1:5" ht="19.5" customHeight="1" x14ac:dyDescent="0.2"/>
  </sheetData>
  <mergeCells count="38">
    <mergeCell ref="B1:E1"/>
    <mergeCell ref="A24:B24"/>
    <mergeCell ref="C24:D24"/>
    <mergeCell ref="C25:D25"/>
    <mergeCell ref="A26:B26"/>
    <mergeCell ref="C26:D26"/>
    <mergeCell ref="C31:E31"/>
    <mergeCell ref="A27:B27"/>
    <mergeCell ref="C27:E27"/>
    <mergeCell ref="C28:E28"/>
    <mergeCell ref="C29:E29"/>
    <mergeCell ref="C30:E30"/>
    <mergeCell ref="C45:E45"/>
    <mergeCell ref="C32:E32"/>
    <mergeCell ref="C33:E33"/>
    <mergeCell ref="C35:E35"/>
    <mergeCell ref="C37:E37"/>
    <mergeCell ref="C38:E38"/>
    <mergeCell ref="C39:E39"/>
    <mergeCell ref="C40:E40"/>
    <mergeCell ref="C41:E41"/>
    <mergeCell ref="C42:E42"/>
    <mergeCell ref="C43:E43"/>
    <mergeCell ref="C44:E44"/>
    <mergeCell ref="A46:B46"/>
    <mergeCell ref="C46:D46"/>
    <mergeCell ref="A47:B47"/>
    <mergeCell ref="C47:D47"/>
    <mergeCell ref="A48:B48"/>
    <mergeCell ref="C48:D48"/>
    <mergeCell ref="A52:B52"/>
    <mergeCell ref="C52:D52"/>
    <mergeCell ref="A49:B49"/>
    <mergeCell ref="C49:D49"/>
    <mergeCell ref="A50:B50"/>
    <mergeCell ref="C50:D50"/>
    <mergeCell ref="A51:B51"/>
    <mergeCell ref="C51:D51"/>
  </mergeCells>
  <printOptions horizontalCentered="1" verticalCentered="1"/>
  <pageMargins left="0" right="0" top="0.25" bottom="0.25" header="0.5" footer="0.5"/>
  <pageSetup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DC88A-BEF0-43A3-9C69-45B1DD7CA740}">
  <sheetPr codeName="Sheet4">
    <tabColor rgb="FF0000FF"/>
    <pageSetUpPr fitToPage="1"/>
  </sheetPr>
  <dimension ref="A1:F59"/>
  <sheetViews>
    <sheetView zoomScale="75" zoomScaleNormal="75" workbookViewId="0">
      <selection activeCell="I25" sqref="I25"/>
    </sheetView>
  </sheetViews>
  <sheetFormatPr defaultColWidth="9.5546875" defaultRowHeight="15" x14ac:dyDescent="0.2"/>
  <cols>
    <col min="1" max="1" width="58.6640625" style="8" customWidth="1"/>
    <col min="2" max="2" width="21.77734375" style="1" customWidth="1"/>
    <col min="3" max="5" width="16.77734375" style="1" customWidth="1"/>
    <col min="6" max="6" width="0.109375" style="1" customWidth="1"/>
    <col min="7" max="16384" width="9.5546875" style="1"/>
  </cols>
  <sheetData>
    <row r="1" spans="1:6" ht="30.75" thickBot="1" x14ac:dyDescent="0.45">
      <c r="A1" s="9" t="s">
        <v>112</v>
      </c>
      <c r="B1" s="91" t="s">
        <v>65</v>
      </c>
      <c r="C1" s="91"/>
      <c r="D1" s="91"/>
      <c r="E1" s="91"/>
      <c r="F1" s="92"/>
    </row>
    <row r="2" spans="1:6" s="4" customFormat="1" ht="23.25" x14ac:dyDescent="0.35">
      <c r="A2" s="10" t="s">
        <v>0</v>
      </c>
      <c r="B2" s="2" t="s">
        <v>1</v>
      </c>
      <c r="C2" s="2" t="s">
        <v>2</v>
      </c>
      <c r="D2" s="2" t="s">
        <v>3</v>
      </c>
      <c r="E2" s="3" t="s">
        <v>4</v>
      </c>
    </row>
    <row r="3" spans="1:6" ht="19.5" customHeight="1" x14ac:dyDescent="0.25">
      <c r="A3" s="42" t="s">
        <v>66</v>
      </c>
      <c r="B3" s="44">
        <v>1</v>
      </c>
      <c r="C3" s="43" t="s">
        <v>67</v>
      </c>
      <c r="D3" s="45">
        <v>0.09</v>
      </c>
      <c r="E3" s="5">
        <f>SUM(B3*D3)</f>
        <v>0.09</v>
      </c>
    </row>
    <row r="4" spans="1:6" ht="19.5" customHeight="1" x14ac:dyDescent="0.25">
      <c r="A4" s="42" t="s">
        <v>68</v>
      </c>
      <c r="B4" s="44">
        <v>0.25</v>
      </c>
      <c r="C4" s="43" t="s">
        <v>69</v>
      </c>
      <c r="D4" s="45">
        <v>3.16</v>
      </c>
      <c r="E4" s="5">
        <f t="shared" ref="E4:E13" si="0">SUM(B4*D4)</f>
        <v>0.79</v>
      </c>
    </row>
    <row r="5" spans="1:6" ht="19.5" customHeight="1" x14ac:dyDescent="0.25">
      <c r="A5" s="42" t="s">
        <v>70</v>
      </c>
      <c r="B5" s="44">
        <v>1</v>
      </c>
      <c r="C5" s="43" t="s">
        <v>71</v>
      </c>
      <c r="D5" s="45">
        <v>5.88</v>
      </c>
      <c r="E5" s="5">
        <f t="shared" si="0"/>
        <v>5.88</v>
      </c>
    </row>
    <row r="6" spans="1:6" ht="19.5" customHeight="1" x14ac:dyDescent="0.25">
      <c r="A6" s="42" t="s">
        <v>72</v>
      </c>
      <c r="B6" s="44">
        <v>3</v>
      </c>
      <c r="C6" s="43" t="s">
        <v>73</v>
      </c>
      <c r="D6" s="45">
        <v>0.21</v>
      </c>
      <c r="E6" s="5">
        <f t="shared" si="0"/>
        <v>0.63</v>
      </c>
    </row>
    <row r="7" spans="1:6" ht="19.5" customHeight="1" x14ac:dyDescent="0.25">
      <c r="A7" s="42" t="s">
        <v>50</v>
      </c>
      <c r="B7" s="44">
        <v>3</v>
      </c>
      <c r="C7" s="43" t="s">
        <v>45</v>
      </c>
      <c r="D7" s="45">
        <v>0.19</v>
      </c>
      <c r="E7" s="5">
        <f t="shared" si="0"/>
        <v>0.57000000000000006</v>
      </c>
    </row>
    <row r="8" spans="1:6" ht="19.5" customHeight="1" x14ac:dyDescent="0.25">
      <c r="A8" s="42" t="s">
        <v>74</v>
      </c>
      <c r="B8" s="44">
        <v>3</v>
      </c>
      <c r="C8" s="43" t="s">
        <v>75</v>
      </c>
      <c r="D8" s="45">
        <v>3.3</v>
      </c>
      <c r="E8" s="5">
        <f t="shared" si="0"/>
        <v>9.8999999999999986</v>
      </c>
    </row>
    <row r="9" spans="1:6" ht="19.5" customHeight="1" x14ac:dyDescent="0.25">
      <c r="A9" s="42" t="s">
        <v>76</v>
      </c>
      <c r="B9" s="44">
        <v>1</v>
      </c>
      <c r="C9" s="43" t="s">
        <v>77</v>
      </c>
      <c r="D9" s="45">
        <v>3.46</v>
      </c>
      <c r="E9" s="5">
        <f t="shared" si="0"/>
        <v>3.46</v>
      </c>
    </row>
    <row r="10" spans="1:6" ht="19.5" customHeight="1" x14ac:dyDescent="0.25">
      <c r="A10" s="42" t="s">
        <v>78</v>
      </c>
      <c r="B10" s="44"/>
      <c r="C10" s="43" t="s">
        <v>79</v>
      </c>
      <c r="D10" s="45"/>
      <c r="E10" s="5">
        <f t="shared" si="0"/>
        <v>0</v>
      </c>
    </row>
    <row r="11" spans="1:6" ht="19.5" customHeight="1" x14ac:dyDescent="0.25">
      <c r="A11" s="42" t="s">
        <v>80</v>
      </c>
      <c r="B11" s="44">
        <v>1</v>
      </c>
      <c r="C11" s="43" t="s">
        <v>81</v>
      </c>
      <c r="D11" s="45">
        <v>0.09</v>
      </c>
      <c r="E11" s="5">
        <f t="shared" si="0"/>
        <v>0.09</v>
      </c>
    </row>
    <row r="12" spans="1:6" ht="19.5" customHeight="1" x14ac:dyDescent="0.25">
      <c r="A12" s="13"/>
      <c r="B12" s="44"/>
      <c r="C12" s="43"/>
      <c r="D12" s="45"/>
      <c r="E12" s="5">
        <f t="shared" si="0"/>
        <v>0</v>
      </c>
    </row>
    <row r="13" spans="1:6" ht="19.5" customHeight="1" x14ac:dyDescent="0.25">
      <c r="A13" s="13"/>
      <c r="B13" s="44"/>
      <c r="C13" s="43"/>
      <c r="D13" s="45"/>
      <c r="E13" s="5">
        <f t="shared" si="0"/>
        <v>0</v>
      </c>
    </row>
    <row r="14" spans="1:6" ht="19.5" customHeight="1" x14ac:dyDescent="0.25">
      <c r="A14" s="13"/>
      <c r="B14" s="18"/>
      <c r="C14" s="15"/>
      <c r="D14" s="16"/>
      <c r="E14" s="5"/>
    </row>
    <row r="15" spans="1:6" ht="19.5" customHeight="1" x14ac:dyDescent="0.25">
      <c r="A15" s="13"/>
      <c r="B15" s="18"/>
      <c r="C15" s="15"/>
      <c r="D15" s="16"/>
      <c r="E15" s="5"/>
    </row>
    <row r="16" spans="1:6"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71" t="s">
        <v>13</v>
      </c>
      <c r="B24" s="72"/>
      <c r="C24" s="67" t="s">
        <v>14</v>
      </c>
      <c r="D24" s="68"/>
      <c r="E24" s="33">
        <v>24</v>
      </c>
    </row>
    <row r="25" spans="1:5" ht="363" customHeight="1" x14ac:dyDescent="0.35">
      <c r="A25" s="41" t="s">
        <v>110</v>
      </c>
      <c r="B25" s="23"/>
      <c r="C25" s="69" t="s">
        <v>16</v>
      </c>
      <c r="D25" s="70"/>
      <c r="E25" s="34" t="s">
        <v>17</v>
      </c>
    </row>
    <row r="26" spans="1:5" ht="21" customHeight="1" thickBot="1" x14ac:dyDescent="0.4">
      <c r="A26" s="73"/>
      <c r="B26" s="74"/>
      <c r="C26" s="82" t="s">
        <v>18</v>
      </c>
      <c r="D26" s="83"/>
      <c r="E26" s="35" t="s">
        <v>19</v>
      </c>
    </row>
    <row r="27" spans="1:5" ht="23.25" x14ac:dyDescent="0.2">
      <c r="A27" s="77"/>
      <c r="B27" s="78"/>
      <c r="C27" s="84" t="s">
        <v>20</v>
      </c>
      <c r="D27" s="85"/>
      <c r="E27" s="86"/>
    </row>
    <row r="28" spans="1:5" ht="27.75" customHeight="1" x14ac:dyDescent="0.25">
      <c r="A28" s="73"/>
      <c r="B28" s="74"/>
      <c r="C28" s="79"/>
      <c r="D28" s="80"/>
      <c r="E28" s="81"/>
    </row>
    <row r="29" spans="1:5" ht="18" customHeight="1" x14ac:dyDescent="0.25">
      <c r="A29" s="73"/>
      <c r="B29" s="74"/>
      <c r="C29" s="79"/>
      <c r="D29" s="80"/>
      <c r="E29" s="81"/>
    </row>
    <row r="30" spans="1:5" ht="18" x14ac:dyDescent="0.25">
      <c r="A30" s="77"/>
      <c r="B30" s="78"/>
      <c r="C30" s="79"/>
      <c r="D30" s="80"/>
      <c r="E30" s="81"/>
    </row>
    <row r="31" spans="1:5" ht="17.100000000000001" customHeight="1" x14ac:dyDescent="0.25">
      <c r="A31" s="73"/>
      <c r="B31" s="74"/>
      <c r="C31" s="79"/>
      <c r="D31" s="80"/>
      <c r="E31" s="81"/>
    </row>
    <row r="32" spans="1:5" ht="211.5" customHeight="1" thickBot="1" x14ac:dyDescent="0.3">
      <c r="A32" s="87"/>
      <c r="B32" s="88"/>
      <c r="C32" s="79"/>
      <c r="D32" s="80"/>
      <c r="E32" s="81"/>
    </row>
    <row r="33" spans="1:5" ht="22.5" customHeight="1" x14ac:dyDescent="0.35">
      <c r="A33" s="75" t="s">
        <v>21</v>
      </c>
      <c r="B33" s="76"/>
      <c r="C33" s="79" t="s">
        <v>22</v>
      </c>
      <c r="D33" s="80"/>
      <c r="E33" s="81"/>
    </row>
    <row r="34" spans="1:5" ht="17.100000000000001" customHeight="1" x14ac:dyDescent="0.25">
      <c r="A34" s="36"/>
      <c r="B34" s="37"/>
      <c r="C34" s="79"/>
      <c r="D34" s="80"/>
      <c r="E34" s="81"/>
    </row>
    <row r="35" spans="1:5" ht="17.100000000000001" customHeight="1" x14ac:dyDescent="0.25">
      <c r="A35" s="36"/>
      <c r="B35" s="37"/>
      <c r="C35" s="79"/>
      <c r="D35" s="80"/>
      <c r="E35" s="81"/>
    </row>
    <row r="36" spans="1:5" ht="16.5" customHeight="1" x14ac:dyDescent="0.25">
      <c r="A36" s="36"/>
      <c r="B36" s="37"/>
      <c r="C36" s="79"/>
      <c r="D36" s="80"/>
      <c r="E36" s="81"/>
    </row>
    <row r="37" spans="1:5" ht="16.5" customHeight="1" x14ac:dyDescent="0.25">
      <c r="A37" s="36"/>
      <c r="B37" s="37"/>
      <c r="C37" s="79"/>
      <c r="D37" s="80"/>
      <c r="E37" s="81"/>
    </row>
    <row r="38" spans="1:5" ht="16.5" customHeight="1" x14ac:dyDescent="0.25">
      <c r="A38" s="36"/>
      <c r="B38" s="37"/>
      <c r="C38" s="79"/>
      <c r="D38" s="80"/>
      <c r="E38" s="81"/>
    </row>
    <row r="39" spans="1:5" ht="16.5" customHeight="1" x14ac:dyDescent="0.25">
      <c r="A39" s="36"/>
      <c r="B39" s="37"/>
      <c r="C39" s="79"/>
      <c r="D39" s="80"/>
      <c r="E39" s="81"/>
    </row>
    <row r="40" spans="1:5" ht="16.5" customHeight="1" x14ac:dyDescent="0.25">
      <c r="A40" s="36"/>
      <c r="B40" s="37"/>
      <c r="C40" s="24"/>
      <c r="D40" s="25"/>
      <c r="E40" s="26"/>
    </row>
    <row r="41" spans="1:5" ht="16.5" customHeight="1" x14ac:dyDescent="0.25">
      <c r="A41" s="36"/>
      <c r="B41" s="37"/>
      <c r="C41" s="79"/>
      <c r="D41" s="80"/>
      <c r="E41" s="81"/>
    </row>
    <row r="42" spans="1:5" ht="16.5" customHeight="1" thickBot="1" x14ac:dyDescent="0.3">
      <c r="A42" s="36"/>
      <c r="B42" s="37"/>
      <c r="C42" s="27"/>
      <c r="D42" s="28"/>
      <c r="E42" s="29"/>
    </row>
    <row r="43" spans="1:5" ht="23.25" customHeight="1" x14ac:dyDescent="0.2">
      <c r="A43" s="36"/>
      <c r="B43" s="37"/>
      <c r="C43" s="84" t="s">
        <v>23</v>
      </c>
      <c r="D43" s="85"/>
      <c r="E43" s="86"/>
    </row>
    <row r="44" spans="1:5" ht="16.5" customHeight="1" x14ac:dyDescent="0.2">
      <c r="A44" s="36"/>
      <c r="B44" s="37"/>
      <c r="C44" s="53" t="s">
        <v>24</v>
      </c>
      <c r="D44" s="54"/>
      <c r="E44" s="55"/>
    </row>
    <row r="45" spans="1:5" ht="16.5" customHeight="1" x14ac:dyDescent="0.2">
      <c r="A45" s="36"/>
      <c r="B45" s="37"/>
      <c r="C45" s="53"/>
      <c r="D45" s="54"/>
      <c r="E45" s="55"/>
    </row>
    <row r="46" spans="1:5" ht="16.5" customHeight="1" x14ac:dyDescent="0.2">
      <c r="A46" s="36"/>
      <c r="B46" s="37"/>
      <c r="C46" s="53"/>
      <c r="D46" s="54"/>
      <c r="E46" s="55"/>
    </row>
    <row r="47" spans="1:5" ht="16.5" customHeight="1" x14ac:dyDescent="0.2">
      <c r="A47" s="36"/>
      <c r="B47" s="37"/>
      <c r="C47" s="53"/>
      <c r="D47" s="54"/>
      <c r="E47" s="55"/>
    </row>
    <row r="48" spans="1:5" ht="16.5" customHeight="1" x14ac:dyDescent="0.2">
      <c r="A48" s="36"/>
      <c r="B48" s="37"/>
      <c r="C48" s="53"/>
      <c r="D48" s="54"/>
      <c r="E48" s="55"/>
    </row>
    <row r="49" spans="1:5" ht="16.5" customHeight="1" x14ac:dyDescent="0.2">
      <c r="A49" s="36"/>
      <c r="B49" s="37"/>
      <c r="C49" s="53"/>
      <c r="D49" s="54"/>
      <c r="E49" s="55"/>
    </row>
    <row r="50" spans="1:5" ht="16.5" customHeight="1" x14ac:dyDescent="0.2">
      <c r="A50" s="36"/>
      <c r="B50" s="37"/>
      <c r="C50" s="53"/>
      <c r="D50" s="54"/>
      <c r="E50" s="55"/>
    </row>
    <row r="51" spans="1:5" ht="16.5" customHeight="1" thickBot="1" x14ac:dyDescent="0.25">
      <c r="A51" s="38"/>
      <c r="B51" s="39"/>
      <c r="C51" s="53"/>
      <c r="D51" s="54"/>
      <c r="E51" s="55"/>
    </row>
    <row r="52" spans="1:5" ht="23.25" x14ac:dyDescent="0.35">
      <c r="A52" s="60" t="s">
        <v>25</v>
      </c>
      <c r="B52" s="61"/>
      <c r="C52" s="56" t="s">
        <v>26</v>
      </c>
      <c r="D52" s="57"/>
      <c r="E52" s="11">
        <f>SUM(E3:E23)</f>
        <v>21.41</v>
      </c>
    </row>
    <row r="53" spans="1:5" ht="18.75" customHeight="1" x14ac:dyDescent="0.25">
      <c r="A53" s="62" t="s">
        <v>27</v>
      </c>
      <c r="B53" s="63"/>
      <c r="C53" s="51" t="s">
        <v>28</v>
      </c>
      <c r="D53" s="52"/>
      <c r="E53" s="30">
        <v>24</v>
      </c>
    </row>
    <row r="54" spans="1:5" ht="18.75" customHeight="1" x14ac:dyDescent="0.25">
      <c r="A54" s="62" t="s">
        <v>29</v>
      </c>
      <c r="B54" s="63"/>
      <c r="C54" s="51" t="s">
        <v>30</v>
      </c>
      <c r="D54" s="52"/>
      <c r="E54" s="7">
        <f>SUM(E52/E53)</f>
        <v>0.89208333333333334</v>
      </c>
    </row>
    <row r="55" spans="1:5" ht="18.75" customHeight="1" x14ac:dyDescent="0.25">
      <c r="A55" s="62" t="s">
        <v>31</v>
      </c>
      <c r="B55" s="63"/>
      <c r="C55" s="51" t="s">
        <v>32</v>
      </c>
      <c r="D55" s="52"/>
      <c r="E55" s="31">
        <v>0</v>
      </c>
    </row>
    <row r="56" spans="1:5" ht="18.75" customHeight="1" x14ac:dyDescent="0.25">
      <c r="A56" s="62" t="s">
        <v>33</v>
      </c>
      <c r="B56" s="63"/>
      <c r="C56" s="51" t="s">
        <v>4</v>
      </c>
      <c r="D56" s="52"/>
      <c r="E56" s="7">
        <f>(+E54*E55)+E54</f>
        <v>0.89208333333333334</v>
      </c>
    </row>
    <row r="57" spans="1:5" ht="18.75" customHeight="1" x14ac:dyDescent="0.25">
      <c r="A57" s="62" t="s">
        <v>34</v>
      </c>
      <c r="B57" s="63"/>
      <c r="C57" s="51" t="s">
        <v>35</v>
      </c>
      <c r="D57" s="52"/>
      <c r="E57" s="32"/>
    </row>
    <row r="58" spans="1:5" ht="18.75" customHeight="1" thickBot="1" x14ac:dyDescent="0.3">
      <c r="A58" s="58" t="s">
        <v>36</v>
      </c>
      <c r="B58" s="59"/>
      <c r="C58" s="49" t="s">
        <v>37</v>
      </c>
      <c r="D58" s="50"/>
      <c r="E58" s="1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F1"/>
    <mergeCell ref="A24:B24"/>
    <mergeCell ref="C24:D24"/>
    <mergeCell ref="C25:D25"/>
    <mergeCell ref="A26:B26"/>
    <mergeCell ref="C26:D26"/>
  </mergeCells>
  <printOptions horizontalCentered="1" verticalCentered="1"/>
  <pageMargins left="0" right="0" top="0.25" bottom="0.25" header="0.5" footer="0.5"/>
  <pageSetup scale="6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7A752-9559-4539-8F6B-61051D9AC04E}">
  <sheetPr codeName="Sheet5">
    <tabColor rgb="FF0000FF"/>
    <pageSetUpPr fitToPage="1"/>
  </sheetPr>
  <dimension ref="A1:E59"/>
  <sheetViews>
    <sheetView topLeftCell="A10" zoomScale="75" zoomScaleNormal="75" workbookViewId="0">
      <selection activeCell="A26" sqref="A26:B26"/>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112</v>
      </c>
      <c r="B1" s="64" t="s">
        <v>82</v>
      </c>
      <c r="C1" s="65"/>
      <c r="D1" s="65"/>
      <c r="E1" s="66"/>
    </row>
    <row r="2" spans="1:5" s="4" customFormat="1" ht="23.25" x14ac:dyDescent="0.35">
      <c r="A2" s="10" t="s">
        <v>0</v>
      </c>
      <c r="B2" s="2" t="s">
        <v>1</v>
      </c>
      <c r="C2" s="2" t="s">
        <v>2</v>
      </c>
      <c r="D2" s="2" t="s">
        <v>3</v>
      </c>
      <c r="E2" s="3" t="s">
        <v>4</v>
      </c>
    </row>
    <row r="3" spans="1:5" ht="19.5" customHeight="1" x14ac:dyDescent="0.25">
      <c r="A3" s="42" t="s">
        <v>83</v>
      </c>
      <c r="B3" s="44">
        <v>4</v>
      </c>
      <c r="C3" s="43" t="s">
        <v>84</v>
      </c>
      <c r="D3" s="16">
        <v>1</v>
      </c>
      <c r="E3" s="45">
        <v>4</v>
      </c>
    </row>
    <row r="4" spans="1:5" ht="19.5" customHeight="1" x14ac:dyDescent="0.25">
      <c r="A4" s="42" t="s">
        <v>85</v>
      </c>
      <c r="B4" s="44">
        <v>1</v>
      </c>
      <c r="C4" s="43" t="s">
        <v>84</v>
      </c>
      <c r="D4" s="16">
        <v>1.07</v>
      </c>
      <c r="E4" s="45">
        <v>1.07</v>
      </c>
    </row>
    <row r="5" spans="1:5" ht="19.5" customHeight="1" x14ac:dyDescent="0.25">
      <c r="A5" s="42" t="s">
        <v>86</v>
      </c>
      <c r="B5" s="44">
        <v>1</v>
      </c>
      <c r="C5" s="43" t="s">
        <v>84</v>
      </c>
      <c r="D5" s="16">
        <v>0.96</v>
      </c>
      <c r="E5" s="45">
        <v>0.96</v>
      </c>
    </row>
    <row r="6" spans="1:5" ht="19.5" customHeight="1" x14ac:dyDescent="0.25">
      <c r="A6" s="42" t="s">
        <v>87</v>
      </c>
      <c r="B6" s="44">
        <v>2</v>
      </c>
      <c r="C6" s="43" t="s">
        <v>88</v>
      </c>
      <c r="D6" s="16">
        <v>1.52</v>
      </c>
      <c r="E6" s="45">
        <v>3.04</v>
      </c>
    </row>
    <row r="7" spans="1:5" ht="19.5" customHeight="1" x14ac:dyDescent="0.25">
      <c r="A7" s="42" t="s">
        <v>89</v>
      </c>
      <c r="B7" s="44">
        <v>2</v>
      </c>
      <c r="C7" s="43" t="s">
        <v>45</v>
      </c>
      <c r="D7" s="16">
        <v>0.03</v>
      </c>
      <c r="E7" s="45">
        <v>0.06</v>
      </c>
    </row>
    <row r="8" spans="1:5" ht="19.5" customHeight="1" x14ac:dyDescent="0.25">
      <c r="A8" s="42" t="s">
        <v>90</v>
      </c>
      <c r="B8" s="44">
        <v>1</v>
      </c>
      <c r="C8" s="43" t="s">
        <v>45</v>
      </c>
      <c r="D8" s="16">
        <v>0.05</v>
      </c>
      <c r="E8" s="45">
        <v>0.05</v>
      </c>
    </row>
    <row r="9" spans="1:5" ht="19.5" customHeight="1" x14ac:dyDescent="0.25">
      <c r="A9" s="42" t="s">
        <v>91</v>
      </c>
      <c r="B9" s="44">
        <v>1.5</v>
      </c>
      <c r="C9" s="43" t="s">
        <v>45</v>
      </c>
      <c r="D9" s="16">
        <v>0.02</v>
      </c>
      <c r="E9" s="45">
        <v>0.03</v>
      </c>
    </row>
    <row r="10" spans="1:5" ht="19.5" customHeight="1" x14ac:dyDescent="0.25">
      <c r="A10" s="42" t="s">
        <v>92</v>
      </c>
      <c r="B10" s="44">
        <v>1</v>
      </c>
      <c r="C10" s="43" t="s">
        <v>52</v>
      </c>
      <c r="D10" s="16">
        <v>0.15</v>
      </c>
      <c r="E10" s="45">
        <v>0.15</v>
      </c>
    </row>
    <row r="11" spans="1:5" ht="19.5" customHeight="1" x14ac:dyDescent="0.25">
      <c r="A11" s="42" t="s">
        <v>78</v>
      </c>
      <c r="B11" s="44" t="s">
        <v>93</v>
      </c>
      <c r="C11" s="43"/>
      <c r="D11" s="16"/>
      <c r="E11" s="45"/>
    </row>
    <row r="12" spans="1:5" ht="19.5" customHeight="1" x14ac:dyDescent="0.25">
      <c r="A12" s="42" t="s">
        <v>94</v>
      </c>
      <c r="B12" s="44" t="s">
        <v>93</v>
      </c>
      <c r="C12" s="43"/>
      <c r="D12" s="16"/>
      <c r="E12" s="4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71" t="s">
        <v>13</v>
      </c>
      <c r="B24" s="72"/>
      <c r="C24" s="67" t="s">
        <v>14</v>
      </c>
      <c r="D24" s="68"/>
      <c r="E24" s="33">
        <v>6</v>
      </c>
    </row>
    <row r="25" spans="1:5" ht="89.25" customHeight="1" x14ac:dyDescent="0.35">
      <c r="A25" s="41" t="s">
        <v>95</v>
      </c>
      <c r="B25" s="23"/>
      <c r="C25" s="69" t="s">
        <v>16</v>
      </c>
      <c r="D25" s="70"/>
      <c r="E25" s="34" t="s">
        <v>84</v>
      </c>
    </row>
    <row r="26" spans="1:5" ht="21" customHeight="1" thickBot="1" x14ac:dyDescent="0.4">
      <c r="A26" s="73" t="s">
        <v>96</v>
      </c>
      <c r="B26" s="74"/>
      <c r="C26" s="82" t="s">
        <v>18</v>
      </c>
      <c r="D26" s="83"/>
      <c r="E26" s="35" t="s">
        <v>19</v>
      </c>
    </row>
    <row r="27" spans="1:5" ht="23.25" x14ac:dyDescent="0.2">
      <c r="A27" s="77"/>
      <c r="B27" s="78"/>
      <c r="C27" s="84" t="s">
        <v>20</v>
      </c>
      <c r="D27" s="85"/>
      <c r="E27" s="86"/>
    </row>
    <row r="28" spans="1:5" ht="27.75" customHeight="1" x14ac:dyDescent="0.25">
      <c r="A28" s="73"/>
      <c r="B28" s="74"/>
      <c r="C28" s="79" t="s">
        <v>97</v>
      </c>
      <c r="D28" s="80"/>
      <c r="E28" s="81"/>
    </row>
    <row r="29" spans="1:5" ht="18" customHeight="1" x14ac:dyDescent="0.25">
      <c r="A29" s="73"/>
      <c r="B29" s="74"/>
      <c r="C29" s="79" t="s">
        <v>98</v>
      </c>
      <c r="D29" s="80"/>
      <c r="E29" s="81"/>
    </row>
    <row r="30" spans="1:5" ht="18" x14ac:dyDescent="0.25">
      <c r="A30" s="77"/>
      <c r="B30" s="78"/>
      <c r="C30" s="79" t="s">
        <v>99</v>
      </c>
      <c r="D30" s="80"/>
      <c r="E30" s="81"/>
    </row>
    <row r="31" spans="1:5" ht="17.100000000000001" customHeight="1" x14ac:dyDescent="0.25">
      <c r="A31" s="73"/>
      <c r="B31" s="74"/>
      <c r="C31" s="79"/>
      <c r="D31" s="80"/>
      <c r="E31" s="81"/>
    </row>
    <row r="32" spans="1:5" ht="17.100000000000001" customHeight="1" thickBot="1" x14ac:dyDescent="0.3">
      <c r="A32" s="87"/>
      <c r="B32" s="88"/>
      <c r="C32" s="79"/>
      <c r="D32" s="80"/>
      <c r="E32" s="81"/>
    </row>
    <row r="33" spans="1:5" ht="22.5" customHeight="1" x14ac:dyDescent="0.35">
      <c r="A33" s="75" t="s">
        <v>21</v>
      </c>
      <c r="B33" s="76"/>
      <c r="C33" s="79" t="s">
        <v>22</v>
      </c>
      <c r="D33" s="80"/>
      <c r="E33" s="81"/>
    </row>
    <row r="34" spans="1:5" ht="17.100000000000001" customHeight="1" x14ac:dyDescent="0.25">
      <c r="A34" s="36"/>
      <c r="B34" s="37"/>
      <c r="C34" s="79"/>
      <c r="D34" s="80"/>
      <c r="E34" s="81"/>
    </row>
    <row r="35" spans="1:5" ht="17.100000000000001" customHeight="1" x14ac:dyDescent="0.25">
      <c r="A35" s="47"/>
      <c r="B35" s="37"/>
      <c r="C35" s="79"/>
      <c r="D35" s="80"/>
      <c r="E35" s="81"/>
    </row>
    <row r="36" spans="1:5" ht="16.5" customHeight="1" x14ac:dyDescent="0.25">
      <c r="A36" s="47"/>
      <c r="B36" s="37"/>
      <c r="C36" s="79"/>
      <c r="D36" s="80"/>
      <c r="E36" s="81"/>
    </row>
    <row r="37" spans="1:5" ht="16.5" customHeight="1" x14ac:dyDescent="0.25">
      <c r="A37" s="47"/>
      <c r="B37" s="37"/>
      <c r="C37" s="79"/>
      <c r="D37" s="80"/>
      <c r="E37" s="81"/>
    </row>
    <row r="38" spans="1:5" ht="16.5" customHeight="1" x14ac:dyDescent="0.25">
      <c r="A38" s="47"/>
      <c r="B38" s="37"/>
      <c r="C38" s="79"/>
      <c r="D38" s="80"/>
      <c r="E38" s="81"/>
    </row>
    <row r="39" spans="1:5" ht="16.5" customHeight="1" x14ac:dyDescent="0.25">
      <c r="A39" s="47"/>
      <c r="B39" s="37"/>
      <c r="C39" s="79"/>
      <c r="D39" s="80"/>
      <c r="E39" s="81"/>
    </row>
    <row r="40" spans="1:5" ht="16.5" customHeight="1" x14ac:dyDescent="0.25">
      <c r="A40" s="36"/>
      <c r="B40" s="37"/>
      <c r="C40" s="24"/>
      <c r="D40" s="25"/>
      <c r="E40" s="26"/>
    </row>
    <row r="41" spans="1:5" ht="16.5" customHeight="1" x14ac:dyDescent="0.25">
      <c r="A41" s="36"/>
      <c r="B41" s="37"/>
      <c r="C41" s="79"/>
      <c r="D41" s="80"/>
      <c r="E41" s="81"/>
    </row>
    <row r="42" spans="1:5" ht="16.5" customHeight="1" thickBot="1" x14ac:dyDescent="0.3">
      <c r="A42" s="36"/>
      <c r="B42" s="37"/>
      <c r="C42" s="27"/>
      <c r="D42" s="28"/>
      <c r="E42" s="29"/>
    </row>
    <row r="43" spans="1:5" ht="23.25" customHeight="1" x14ac:dyDescent="0.2">
      <c r="A43" s="36"/>
      <c r="B43" s="37"/>
      <c r="C43" s="84" t="s">
        <v>23</v>
      </c>
      <c r="D43" s="85"/>
      <c r="E43" s="86"/>
    </row>
    <row r="44" spans="1:5" ht="16.5" customHeight="1" x14ac:dyDescent="0.2">
      <c r="A44" s="36"/>
      <c r="B44" s="37"/>
      <c r="C44" s="53" t="s">
        <v>24</v>
      </c>
      <c r="D44" s="54"/>
      <c r="E44" s="55"/>
    </row>
    <row r="45" spans="1:5" ht="16.5" customHeight="1" x14ac:dyDescent="0.2">
      <c r="A45" s="36"/>
      <c r="B45" s="37"/>
      <c r="C45" s="53"/>
      <c r="D45" s="54"/>
      <c r="E45" s="55"/>
    </row>
    <row r="46" spans="1:5" ht="16.5" customHeight="1" x14ac:dyDescent="0.2">
      <c r="A46" s="36"/>
      <c r="B46" s="37"/>
      <c r="C46" s="53"/>
      <c r="D46" s="54"/>
      <c r="E46" s="55"/>
    </row>
    <row r="47" spans="1:5" ht="16.5" customHeight="1" x14ac:dyDescent="0.2">
      <c r="A47" s="36"/>
      <c r="B47" s="37"/>
      <c r="C47" s="53"/>
      <c r="D47" s="54"/>
      <c r="E47" s="55"/>
    </row>
    <row r="48" spans="1:5" ht="16.5" customHeight="1" x14ac:dyDescent="0.2">
      <c r="A48" s="36"/>
      <c r="B48" s="37"/>
      <c r="C48" s="53"/>
      <c r="D48" s="54"/>
      <c r="E48" s="55"/>
    </row>
    <row r="49" spans="1:5" ht="16.5" customHeight="1" x14ac:dyDescent="0.2">
      <c r="A49" s="36"/>
      <c r="B49" s="37"/>
      <c r="C49" s="53"/>
      <c r="D49" s="54"/>
      <c r="E49" s="55"/>
    </row>
    <row r="50" spans="1:5" ht="16.5" customHeight="1" x14ac:dyDescent="0.2">
      <c r="A50" s="36"/>
      <c r="B50" s="37"/>
      <c r="C50" s="53"/>
      <c r="D50" s="54"/>
      <c r="E50" s="55"/>
    </row>
    <row r="51" spans="1:5" ht="16.5" customHeight="1" thickBot="1" x14ac:dyDescent="0.25">
      <c r="A51" s="38"/>
      <c r="B51" s="39"/>
      <c r="C51" s="53"/>
      <c r="D51" s="54"/>
      <c r="E51" s="55"/>
    </row>
    <row r="52" spans="1:5" ht="23.25" x14ac:dyDescent="0.35">
      <c r="A52" s="60" t="s">
        <v>25</v>
      </c>
      <c r="B52" s="61"/>
      <c r="C52" s="56" t="s">
        <v>26</v>
      </c>
      <c r="D52" s="57"/>
      <c r="E52" s="11">
        <f>SUM(E3:E23)</f>
        <v>9.3600000000000012</v>
      </c>
    </row>
    <row r="53" spans="1:5" ht="18.75" customHeight="1" x14ac:dyDescent="0.25">
      <c r="A53" s="62" t="s">
        <v>27</v>
      </c>
      <c r="B53" s="63"/>
      <c r="C53" s="51" t="s">
        <v>28</v>
      </c>
      <c r="D53" s="52"/>
      <c r="E53" s="30">
        <v>140</v>
      </c>
    </row>
    <row r="54" spans="1:5" ht="18.75" customHeight="1" x14ac:dyDescent="0.25">
      <c r="A54" s="62" t="s">
        <v>29</v>
      </c>
      <c r="B54" s="63"/>
      <c r="C54" s="51" t="s">
        <v>30</v>
      </c>
      <c r="D54" s="52"/>
      <c r="E54" s="7">
        <f>SUM(E52/E53)</f>
        <v>6.6857142857142865E-2</v>
      </c>
    </row>
    <row r="55" spans="1:5" ht="18.75" customHeight="1" x14ac:dyDescent="0.25">
      <c r="A55" s="62" t="s">
        <v>31</v>
      </c>
      <c r="B55" s="63"/>
      <c r="C55" s="51" t="s">
        <v>32</v>
      </c>
      <c r="D55" s="52"/>
      <c r="E55" s="31">
        <v>0</v>
      </c>
    </row>
    <row r="56" spans="1:5" ht="18.75" customHeight="1" x14ac:dyDescent="0.25">
      <c r="A56" s="62" t="s">
        <v>33</v>
      </c>
      <c r="B56" s="63"/>
      <c r="C56" s="51" t="s">
        <v>4</v>
      </c>
      <c r="D56" s="52"/>
      <c r="E56" s="7">
        <f>(+E54*E55)+E54</f>
        <v>6.6857142857142865E-2</v>
      </c>
    </row>
    <row r="57" spans="1:5" ht="18.75" customHeight="1" x14ac:dyDescent="0.25">
      <c r="A57" s="62" t="s">
        <v>34</v>
      </c>
      <c r="B57" s="63"/>
      <c r="C57" s="51" t="s">
        <v>35</v>
      </c>
      <c r="D57" s="52"/>
      <c r="E57" s="32"/>
    </row>
    <row r="58" spans="1:5" ht="18.75" customHeight="1" thickBot="1" x14ac:dyDescent="0.3">
      <c r="A58" s="58" t="s">
        <v>36</v>
      </c>
      <c r="B58" s="59"/>
      <c r="C58" s="49" t="s">
        <v>37</v>
      </c>
      <c r="D58" s="50"/>
      <c r="E58" s="1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466D5-0412-456F-A0A4-6130A585A06B}">
  <sheetPr codeName="Sheet6">
    <tabColor rgb="FF0000FF"/>
    <pageSetUpPr fitToPage="1"/>
  </sheetPr>
  <dimension ref="A1:E59"/>
  <sheetViews>
    <sheetView topLeftCell="A4" zoomScale="75" zoomScaleNormal="75" workbookViewId="0">
      <selection activeCell="A28" sqref="A28:B28"/>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112</v>
      </c>
      <c r="B1" s="64" t="s">
        <v>100</v>
      </c>
      <c r="C1" s="65"/>
      <c r="D1" s="65"/>
      <c r="E1" s="66"/>
    </row>
    <row r="2" spans="1:5" s="4" customFormat="1" ht="23.25" x14ac:dyDescent="0.35">
      <c r="A2" s="10" t="s">
        <v>0</v>
      </c>
      <c r="B2" s="2" t="s">
        <v>1</v>
      </c>
      <c r="C2" s="2" t="s">
        <v>2</v>
      </c>
      <c r="D2" s="2" t="s">
        <v>3</v>
      </c>
      <c r="E2" s="3" t="s">
        <v>4</v>
      </c>
    </row>
    <row r="3" spans="1:5" ht="19.5" customHeight="1" x14ac:dyDescent="0.25">
      <c r="A3" s="13" t="s">
        <v>101</v>
      </c>
      <c r="B3" s="14">
        <v>3</v>
      </c>
      <c r="C3" s="15" t="s">
        <v>71</v>
      </c>
      <c r="D3" s="16">
        <v>8.1199999999999992</v>
      </c>
      <c r="E3" s="5">
        <f t="shared" ref="E3:E10" si="0">SUM(B3*D3)</f>
        <v>24.36</v>
      </c>
    </row>
    <row r="4" spans="1:5" ht="19.5" customHeight="1" x14ac:dyDescent="0.25">
      <c r="A4" s="13" t="s">
        <v>102</v>
      </c>
      <c r="B4" s="40">
        <v>1</v>
      </c>
      <c r="C4" s="40" t="s">
        <v>71</v>
      </c>
      <c r="D4" s="16">
        <v>11.59</v>
      </c>
      <c r="E4" s="5">
        <f t="shared" si="0"/>
        <v>11.59</v>
      </c>
    </row>
    <row r="5" spans="1:5" ht="19.5" customHeight="1" x14ac:dyDescent="0.25">
      <c r="A5" s="17" t="s">
        <v>103</v>
      </c>
      <c r="B5" s="40">
        <v>1.5</v>
      </c>
      <c r="C5" s="40" t="s">
        <v>84</v>
      </c>
      <c r="D5" s="16">
        <v>0</v>
      </c>
      <c r="E5" s="5">
        <f t="shared" si="0"/>
        <v>0</v>
      </c>
    </row>
    <row r="6" spans="1:5" ht="19.5" customHeight="1" x14ac:dyDescent="0.25">
      <c r="A6" s="13" t="s">
        <v>91</v>
      </c>
      <c r="B6" s="40">
        <v>1.5</v>
      </c>
      <c r="C6" s="40" t="s">
        <v>84</v>
      </c>
      <c r="D6" s="16">
        <v>1.28</v>
      </c>
      <c r="E6" s="5">
        <f t="shared" si="0"/>
        <v>1.92</v>
      </c>
    </row>
    <row r="7" spans="1:5" ht="19.5" customHeight="1" x14ac:dyDescent="0.25">
      <c r="A7" s="13" t="s">
        <v>104</v>
      </c>
      <c r="B7" s="14">
        <v>2</v>
      </c>
      <c r="C7" s="15" t="s">
        <v>45</v>
      </c>
      <c r="D7" s="16">
        <v>0.28000000000000003</v>
      </c>
      <c r="E7" s="5">
        <f t="shared" si="0"/>
        <v>0.56000000000000005</v>
      </c>
    </row>
    <row r="8" spans="1:5" ht="19.5" customHeight="1" x14ac:dyDescent="0.25">
      <c r="A8" s="13" t="s">
        <v>105</v>
      </c>
      <c r="B8" s="14">
        <v>3</v>
      </c>
      <c r="C8" s="15" t="s">
        <v>6</v>
      </c>
      <c r="D8" s="16">
        <v>1.34</v>
      </c>
      <c r="E8" s="5">
        <f t="shared" si="0"/>
        <v>4.0200000000000005</v>
      </c>
    </row>
    <row r="9" spans="1:5" ht="19.5" customHeight="1" x14ac:dyDescent="0.25">
      <c r="A9" s="13" t="s">
        <v>106</v>
      </c>
      <c r="B9" s="14">
        <v>2</v>
      </c>
      <c r="C9" s="15" t="s">
        <v>88</v>
      </c>
      <c r="D9" s="16">
        <v>2</v>
      </c>
      <c r="E9" s="5">
        <f t="shared" si="0"/>
        <v>4</v>
      </c>
    </row>
    <row r="10" spans="1:5" ht="19.5" customHeight="1" x14ac:dyDescent="0.25">
      <c r="A10" s="13"/>
      <c r="B10" s="14"/>
      <c r="C10" s="15"/>
      <c r="D10" s="16"/>
      <c r="E10" s="5">
        <f t="shared" si="0"/>
        <v>0</v>
      </c>
    </row>
    <row r="11" spans="1:5" ht="19.5" customHeight="1" x14ac:dyDescent="0.25">
      <c r="A11" s="13"/>
      <c r="B11" s="18"/>
      <c r="C11" s="15"/>
      <c r="D11" s="16"/>
      <c r="E11" s="5"/>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71" t="s">
        <v>13</v>
      </c>
      <c r="B24" s="72"/>
      <c r="C24" s="67" t="s">
        <v>14</v>
      </c>
      <c r="D24" s="68"/>
      <c r="E24" s="33">
        <v>18</v>
      </c>
    </row>
    <row r="25" spans="1:5" ht="89.25" customHeight="1" x14ac:dyDescent="0.35">
      <c r="A25" s="41" t="s">
        <v>107</v>
      </c>
      <c r="B25" s="23"/>
      <c r="C25" s="69" t="s">
        <v>16</v>
      </c>
      <c r="D25" s="70"/>
      <c r="E25" s="34" t="s">
        <v>39</v>
      </c>
    </row>
    <row r="26" spans="1:5" ht="21" customHeight="1" thickBot="1" x14ac:dyDescent="0.4">
      <c r="A26" s="73" t="s">
        <v>108</v>
      </c>
      <c r="B26" s="74"/>
      <c r="C26" s="82" t="s">
        <v>18</v>
      </c>
      <c r="D26" s="83"/>
      <c r="E26" s="35" t="s">
        <v>19</v>
      </c>
    </row>
    <row r="27" spans="1:5" ht="23.25" x14ac:dyDescent="0.2">
      <c r="A27" s="77" t="s">
        <v>109</v>
      </c>
      <c r="B27" s="78"/>
      <c r="C27" s="84" t="s">
        <v>20</v>
      </c>
      <c r="D27" s="85"/>
      <c r="E27" s="86"/>
    </row>
    <row r="28" spans="1:5" ht="27.75" customHeight="1" x14ac:dyDescent="0.25">
      <c r="A28" s="73"/>
      <c r="B28" s="74"/>
      <c r="C28" s="79"/>
      <c r="D28" s="80"/>
      <c r="E28" s="81"/>
    </row>
    <row r="29" spans="1:5" ht="18" customHeight="1" x14ac:dyDescent="0.25">
      <c r="A29" s="73"/>
      <c r="B29" s="74"/>
      <c r="C29" s="79"/>
      <c r="D29" s="80"/>
      <c r="E29" s="81"/>
    </row>
    <row r="30" spans="1:5" ht="18" x14ac:dyDescent="0.25">
      <c r="A30" s="77"/>
      <c r="B30" s="78"/>
      <c r="C30" s="79"/>
      <c r="D30" s="80"/>
      <c r="E30" s="81"/>
    </row>
    <row r="31" spans="1:5" ht="17.100000000000001" customHeight="1" x14ac:dyDescent="0.25">
      <c r="A31" s="73"/>
      <c r="B31" s="74"/>
      <c r="C31" s="79"/>
      <c r="D31" s="80"/>
      <c r="E31" s="81"/>
    </row>
    <row r="32" spans="1:5" ht="17.100000000000001" customHeight="1" thickBot="1" x14ac:dyDescent="0.3">
      <c r="A32" s="87"/>
      <c r="B32" s="88"/>
      <c r="C32" s="79"/>
      <c r="D32" s="80"/>
      <c r="E32" s="81"/>
    </row>
    <row r="33" spans="1:5" ht="22.5" customHeight="1" x14ac:dyDescent="0.35">
      <c r="A33" s="75" t="s">
        <v>21</v>
      </c>
      <c r="B33" s="76"/>
      <c r="C33" s="79" t="s">
        <v>22</v>
      </c>
      <c r="D33" s="80"/>
      <c r="E33" s="81"/>
    </row>
    <row r="34" spans="1:5" ht="17.100000000000001" customHeight="1" x14ac:dyDescent="0.25">
      <c r="A34" s="36"/>
      <c r="B34" s="37"/>
      <c r="C34" s="79"/>
      <c r="D34" s="80"/>
      <c r="E34" s="81"/>
    </row>
    <row r="35" spans="1:5" ht="17.100000000000001" customHeight="1" x14ac:dyDescent="0.25">
      <c r="A35" s="36"/>
      <c r="B35" s="37"/>
      <c r="C35" s="79"/>
      <c r="D35" s="80"/>
      <c r="E35" s="81"/>
    </row>
    <row r="36" spans="1:5" ht="16.5" customHeight="1" x14ac:dyDescent="0.25">
      <c r="A36" s="36"/>
      <c r="B36" s="37"/>
      <c r="C36" s="79"/>
      <c r="D36" s="80"/>
      <c r="E36" s="81"/>
    </row>
    <row r="37" spans="1:5" ht="16.5" customHeight="1" x14ac:dyDescent="0.25">
      <c r="A37" s="36"/>
      <c r="B37" s="37"/>
      <c r="C37" s="79"/>
      <c r="D37" s="80"/>
      <c r="E37" s="81"/>
    </row>
    <row r="38" spans="1:5" ht="16.5" customHeight="1" x14ac:dyDescent="0.25">
      <c r="A38" s="36"/>
      <c r="B38" s="37"/>
      <c r="C38" s="79"/>
      <c r="D38" s="80"/>
      <c r="E38" s="81"/>
    </row>
    <row r="39" spans="1:5" ht="16.5" customHeight="1" x14ac:dyDescent="0.25">
      <c r="A39" s="36"/>
      <c r="B39" s="37"/>
      <c r="C39" s="79"/>
      <c r="D39" s="80"/>
      <c r="E39" s="81"/>
    </row>
    <row r="40" spans="1:5" ht="16.5" customHeight="1" x14ac:dyDescent="0.25">
      <c r="A40" s="36"/>
      <c r="B40" s="37"/>
      <c r="C40" s="24"/>
      <c r="D40" s="25"/>
      <c r="E40" s="26"/>
    </row>
    <row r="41" spans="1:5" ht="16.5" customHeight="1" x14ac:dyDescent="0.25">
      <c r="A41" s="36"/>
      <c r="B41" s="37"/>
      <c r="C41" s="79"/>
      <c r="D41" s="80"/>
      <c r="E41" s="81"/>
    </row>
    <row r="42" spans="1:5" ht="16.5" customHeight="1" thickBot="1" x14ac:dyDescent="0.3">
      <c r="A42" s="36"/>
      <c r="B42" s="37"/>
      <c r="C42" s="27"/>
      <c r="D42" s="28"/>
      <c r="E42" s="29"/>
    </row>
    <row r="43" spans="1:5" ht="23.25" customHeight="1" x14ac:dyDescent="0.2">
      <c r="A43" s="36"/>
      <c r="B43" s="37"/>
      <c r="C43" s="84" t="s">
        <v>23</v>
      </c>
      <c r="D43" s="85"/>
      <c r="E43" s="86"/>
    </row>
    <row r="44" spans="1:5" ht="16.5" customHeight="1" x14ac:dyDescent="0.2">
      <c r="A44" s="36"/>
      <c r="B44" s="37"/>
      <c r="C44" s="53" t="s">
        <v>24</v>
      </c>
      <c r="D44" s="54"/>
      <c r="E44" s="55"/>
    </row>
    <row r="45" spans="1:5" ht="16.5" customHeight="1" x14ac:dyDescent="0.2">
      <c r="A45" s="36"/>
      <c r="B45" s="37"/>
      <c r="C45" s="53"/>
      <c r="D45" s="54"/>
      <c r="E45" s="55"/>
    </row>
    <row r="46" spans="1:5" ht="16.5" customHeight="1" x14ac:dyDescent="0.2">
      <c r="A46" s="36"/>
      <c r="B46" s="37"/>
      <c r="C46" s="53"/>
      <c r="D46" s="54"/>
      <c r="E46" s="55"/>
    </row>
    <row r="47" spans="1:5" ht="16.5" customHeight="1" x14ac:dyDescent="0.2">
      <c r="A47" s="36"/>
      <c r="B47" s="37"/>
      <c r="C47" s="53"/>
      <c r="D47" s="54"/>
      <c r="E47" s="55"/>
    </row>
    <row r="48" spans="1:5" ht="16.5" customHeight="1" x14ac:dyDescent="0.2">
      <c r="A48" s="36"/>
      <c r="B48" s="37"/>
      <c r="C48" s="53"/>
      <c r="D48" s="54"/>
      <c r="E48" s="55"/>
    </row>
    <row r="49" spans="1:5" ht="16.5" customHeight="1" x14ac:dyDescent="0.2">
      <c r="A49" s="36"/>
      <c r="B49" s="37"/>
      <c r="C49" s="53"/>
      <c r="D49" s="54"/>
      <c r="E49" s="55"/>
    </row>
    <row r="50" spans="1:5" ht="16.5" customHeight="1" x14ac:dyDescent="0.2">
      <c r="A50" s="36"/>
      <c r="B50" s="37"/>
      <c r="C50" s="53"/>
      <c r="D50" s="54"/>
      <c r="E50" s="55"/>
    </row>
    <row r="51" spans="1:5" ht="16.5" customHeight="1" thickBot="1" x14ac:dyDescent="0.25">
      <c r="A51" s="38"/>
      <c r="B51" s="39"/>
      <c r="C51" s="53"/>
      <c r="D51" s="54"/>
      <c r="E51" s="55"/>
    </row>
    <row r="52" spans="1:5" ht="23.25" x14ac:dyDescent="0.35">
      <c r="A52" s="60" t="s">
        <v>25</v>
      </c>
      <c r="B52" s="61"/>
      <c r="C52" s="56" t="s">
        <v>26</v>
      </c>
      <c r="D52" s="57"/>
      <c r="E52" s="11">
        <f>SUM(E3:E23)</f>
        <v>46.45000000000001</v>
      </c>
    </row>
    <row r="53" spans="1:5" ht="18.75" customHeight="1" x14ac:dyDescent="0.25">
      <c r="A53" s="62" t="s">
        <v>27</v>
      </c>
      <c r="B53" s="63"/>
      <c r="C53" s="51" t="s">
        <v>28</v>
      </c>
      <c r="D53" s="52"/>
      <c r="E53" s="30">
        <v>288</v>
      </c>
    </row>
    <row r="54" spans="1:5" ht="18.75" customHeight="1" x14ac:dyDescent="0.25">
      <c r="A54" s="62" t="s">
        <v>29</v>
      </c>
      <c r="B54" s="63"/>
      <c r="C54" s="51" t="s">
        <v>30</v>
      </c>
      <c r="D54" s="52"/>
      <c r="E54" s="7">
        <f>SUM(E52/E53)</f>
        <v>0.16128472222222226</v>
      </c>
    </row>
    <row r="55" spans="1:5" ht="18.75" customHeight="1" x14ac:dyDescent="0.25">
      <c r="A55" s="62" t="s">
        <v>31</v>
      </c>
      <c r="B55" s="63"/>
      <c r="C55" s="51" t="s">
        <v>32</v>
      </c>
      <c r="D55" s="52"/>
      <c r="E55" s="31">
        <v>0</v>
      </c>
    </row>
    <row r="56" spans="1:5" ht="18.75" customHeight="1" x14ac:dyDescent="0.25">
      <c r="A56" s="62" t="s">
        <v>33</v>
      </c>
      <c r="B56" s="63"/>
      <c r="C56" s="51" t="s">
        <v>4</v>
      </c>
      <c r="D56" s="52"/>
      <c r="E56" s="7">
        <f>(+E54*E55)+E54</f>
        <v>0.16128472222222226</v>
      </c>
    </row>
    <row r="57" spans="1:5" ht="18.75" customHeight="1" x14ac:dyDescent="0.25">
      <c r="A57" s="62" t="s">
        <v>34</v>
      </c>
      <c r="B57" s="63"/>
      <c r="C57" s="51" t="s">
        <v>35</v>
      </c>
      <c r="D57" s="52"/>
      <c r="E57" s="32">
        <v>0</v>
      </c>
    </row>
    <row r="58" spans="1:5" ht="18.75" customHeight="1" thickBot="1" x14ac:dyDescent="0.3">
      <c r="A58" s="58" t="s">
        <v>36</v>
      </c>
      <c r="B58" s="59"/>
      <c r="C58" s="49" t="s">
        <v>37</v>
      </c>
      <c r="D58" s="50"/>
      <c r="E58" s="1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5"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Pulled Pork Platter</vt:lpstr>
      <vt:lpstr>Mac and Cheese (2)</vt:lpstr>
      <vt:lpstr>Pork</vt:lpstr>
      <vt:lpstr>Bechamel Cheese Sauce (2)</vt:lpstr>
      <vt:lpstr>Slaw (2)</vt:lpstr>
      <vt:lpstr>Pickled Vegetables (2)</vt:lpstr>
      <vt:lpstr>'Bechamel Cheese Sauce (2)'!Print_Area</vt:lpstr>
      <vt:lpstr>'Mac and Cheese (2)'!Print_Area</vt:lpstr>
      <vt:lpstr>'Pickled Vegetables (2)'!Print_Area</vt:lpstr>
      <vt:lpstr>Pork!Print_Area</vt:lpstr>
      <vt:lpstr>'Pulled Pork Platter'!Print_Area</vt:lpstr>
      <vt:lpstr>'Slaw (2)'!Print_Area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2026-03-07T06:34:39Z</dcterms:modified>
  <cp:category/>
  <cp:contentStatus/>
</cp:coreProperties>
</file>