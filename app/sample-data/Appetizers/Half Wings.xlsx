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Appetizers (Names Updated and Recipes Extracted)\"/>
    </mc:Choice>
  </mc:AlternateContent>
  <xr:revisionPtr revIDLastSave="0" documentId="13_ncr:1_{3903C623-42FC-453C-8FB3-3F4A0EA5A734}" xr6:coauthVersionLast="47" xr6:coauthVersionMax="47" xr10:uidLastSave="{00000000-0000-0000-0000-000000000000}"/>
  <bookViews>
    <workbookView xWindow="31140" yWindow="630" windowWidth="18675" windowHeight="14850" xr2:uid="{00000000-000D-0000-FFFF-FFFF00000000}"/>
  </bookViews>
  <sheets>
    <sheet name="1 2 Wings" sheetId="13" r:id="rId1"/>
    <sheet name="Smoked Wings" sheetId="1" r:id="rId2"/>
    <sheet name="Huli Huli" sheetId="8" r:id="rId3"/>
    <sheet name="BBQ Sauce" sheetId="16" r:id="rId4"/>
    <sheet name="Apple Marmalade (2)" sheetId="17" r:id="rId5"/>
    <sheet name="Hot Honey" sheetId="10" r:id="rId6"/>
    <sheet name="Pineapple Teriyaki" sheetId="11" r:id="rId7"/>
    <sheet name="Ranch" sheetId="14" r:id="rId8"/>
  </sheets>
  <externalReferences>
    <externalReference r:id="rId9"/>
  </externalReferences>
  <definedNames>
    <definedName name="_xlnm.Print_Area" localSheetId="0">'1 2 Wings'!$A$1:$E$58</definedName>
    <definedName name="_xlnm.Print_Area" localSheetId="5">'Hot Honey'!$A$1:$E$58</definedName>
    <definedName name="_xlnm.Print_Area" localSheetId="2">'Huli Huli'!$A$1:$E$58</definedName>
    <definedName name="_xlnm.Print_Area" localSheetId="6">'Pineapple Teriyaki'!$A$1:$E$58</definedName>
    <definedName name="_xlnm.Print_Area" localSheetId="7">Ranch!$A$1:$E$58</definedName>
    <definedName name="_xlnm.Print_Area" localSheetId="1">'Smoked Wings'!$A$1:$E$58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7" l="1"/>
  <c r="E54" i="17" s="1"/>
  <c r="E56" i="17" s="1"/>
  <c r="E58" i="17" s="1"/>
  <c r="E52" i="16"/>
  <c r="E54" i="16" s="1"/>
  <c r="E56" i="16" s="1"/>
  <c r="E58" i="16" s="1"/>
  <c r="E52" i="14"/>
  <c r="E54" i="14" s="1"/>
  <c r="E56" i="14" s="1"/>
  <c r="E58" i="14" s="1"/>
  <c r="E52" i="13" l="1"/>
  <c r="E54" i="13" s="1"/>
  <c r="E56" i="13" s="1"/>
  <c r="E58" i="13" s="1"/>
  <c r="E52" i="11"/>
  <c r="E54" i="11" s="1"/>
  <c r="E56" i="11" s="1"/>
  <c r="E58" i="11" s="1"/>
  <c r="E52" i="10"/>
  <c r="E54" i="10" s="1"/>
  <c r="E56" i="10" s="1"/>
  <c r="E58" i="10" s="1"/>
  <c r="E52" i="8" l="1"/>
  <c r="E54" i="8" s="1"/>
  <c r="E56" i="8" s="1"/>
  <c r="E58" i="8" s="1"/>
  <c r="E52" i="1" l="1"/>
  <c r="E54" i="1" s="1"/>
  <c r="E56" i="1" s="1"/>
  <c r="E58" i="1" s="1"/>
</calcChain>
</file>

<file path=xl/sharedStrings.xml><?xml version="1.0" encoding="utf-8"?>
<sst xmlns="http://schemas.openxmlformats.org/spreadsheetml/2006/main" count="391" uniqueCount="109">
  <si>
    <t>Wings</t>
  </si>
  <si>
    <t>Ingredients</t>
  </si>
  <si>
    <t>Quantity</t>
  </si>
  <si>
    <t>Measure</t>
  </si>
  <si>
    <t>Unit Cost</t>
  </si>
  <si>
    <t>Total Cost</t>
  </si>
  <si>
    <t>Carrots</t>
  </si>
  <si>
    <t>Celery</t>
  </si>
  <si>
    <t>Choice of Sauce</t>
  </si>
  <si>
    <t>Choice of Dressing</t>
  </si>
  <si>
    <t>Assembly:</t>
  </si>
  <si>
    <t>Yield Amount:</t>
  </si>
  <si>
    <t>Yield Measure:</t>
  </si>
  <si>
    <t>serving</t>
  </si>
  <si>
    <t>Shelf Life (in days):</t>
  </si>
  <si>
    <t xml:space="preserve">7 days </t>
  </si>
  <si>
    <t>Tools &amp; Supplies:</t>
  </si>
  <si>
    <t>Cutting Board</t>
  </si>
  <si>
    <t>Fryer</t>
  </si>
  <si>
    <t>Dinner plate</t>
  </si>
  <si>
    <t>Mixing Bowl</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</si>
  <si>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</si>
  <si>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</si>
  <si>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</si>
  <si>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</si>
  <si>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</si>
  <si>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</si>
  <si>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</si>
  <si>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</si>
  <si>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</si>
  <si>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</si>
  <si>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</si>
  <si>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</si>
  <si>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</si>
  <si>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</si>
  <si>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</si>
  <si>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</si>
  <si>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</si>
  <si>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Case</t>
  </si>
  <si>
    <t>BBQ Seasoning</t>
  </si>
  <si>
    <t>Each</t>
  </si>
  <si>
    <t>1. toss in bbq rub
2. spray a sheet tray rack with non stick spray then lay wings on them
3. put pellets in smoking box and put in oven
4. put wings in oven and set temp to 275F for 45mins then hit smoker setting and play.</t>
  </si>
  <si>
    <t>Huli Huli</t>
  </si>
  <si>
    <t>Pineapple Juice</t>
  </si>
  <si>
    <t>C</t>
  </si>
  <si>
    <t>Soy Sauce</t>
  </si>
  <si>
    <t>Ketchup</t>
  </si>
  <si>
    <t>Brown Sugar</t>
  </si>
  <si>
    <t>Ginger</t>
  </si>
  <si>
    <t>T</t>
  </si>
  <si>
    <t>Garlic</t>
  </si>
  <si>
    <t>Siracha</t>
  </si>
  <si>
    <t>Sesame Oil</t>
  </si>
  <si>
    <t>Dijon</t>
  </si>
  <si>
    <t>Sherry</t>
  </si>
  <si>
    <t>S&amp;P</t>
  </si>
  <si>
    <t>tt</t>
  </si>
  <si>
    <r>
      <rPr>
        <sz val="12"/>
        <color rgb="FF000000"/>
        <rFont val="Arial"/>
      </rPr>
      <t xml:space="preserve">1. Sweat garlic and ginger in sauce pan in seasme oil.
2. Deglaze with sherry
3. Add the rest of ingredients except slurry and bring to a simmer then kill heat.
4. Let cool then store in plastic container.
</t>
    </r>
    <r>
      <rPr>
        <b/>
        <sz val="12"/>
        <color rgb="FF000000"/>
        <rFont val="Arial"/>
      </rPr>
      <t>5. Label, Date, Refrigerate</t>
    </r>
  </si>
  <si>
    <t>10 wings</t>
  </si>
  <si>
    <t>BBQ Sauce</t>
  </si>
  <si>
    <t>Marmalade</t>
  </si>
  <si>
    <t>Cups</t>
  </si>
  <si>
    <t>Apple Cider Vinegar</t>
  </si>
  <si>
    <t>Whiskey</t>
  </si>
  <si>
    <t>Molasses</t>
  </si>
  <si>
    <t>Worcestershire</t>
  </si>
  <si>
    <t>Garlic Powder</t>
  </si>
  <si>
    <t>Onion Powder</t>
  </si>
  <si>
    <t>Cayenne</t>
  </si>
  <si>
    <t>Mustard Powder</t>
  </si>
  <si>
    <t xml:space="preserve">S &amp; P </t>
  </si>
  <si>
    <t>1.Combine marmalade, ketchup, apple cider vinegar, whiskey, brown sugar, molasses, and Worcestershire sauce in a large pot.
2. Stir in garlic powder, onion powder, cayenne, mustard powder, salt, and pepper.
3. Simmer over medium-low heat for 15–20 minutes, stirring occasionally, until the sauce thickens and the flavors meld.
4. Remove from heat and let cool completely before storing or using.</t>
  </si>
  <si>
    <t>Gallons</t>
  </si>
  <si>
    <t>Apple Marmalade</t>
  </si>
  <si>
    <t>Apples, Peeled and cored</t>
  </si>
  <si>
    <t>lbs</t>
  </si>
  <si>
    <t>Sugar</t>
  </si>
  <si>
    <t>Lemon, Zest and Juice</t>
  </si>
  <si>
    <t>Cinnamon</t>
  </si>
  <si>
    <t>Allspice</t>
  </si>
  <si>
    <t>Nutmeg</t>
  </si>
  <si>
    <t>Salt</t>
  </si>
  <si>
    <t>1. Peel, core, and small-dice apples.
2. Combine apples, sugar, brown sugar, apple cider vinegar, lemon zest/juice, cinnamon, allspice, nutmeg, and salt in a pot.
3. Simmer over medium-low heat until apples are soft and liquid reduces to a thick, jam-like consistency.
4. Remove from heat and let cool. Label and date</t>
  </si>
  <si>
    <t>Hot Honey</t>
  </si>
  <si>
    <t>Honey</t>
  </si>
  <si>
    <t>Bottle</t>
  </si>
  <si>
    <t>Red Chili Flake</t>
  </si>
  <si>
    <t>Tbsp</t>
  </si>
  <si>
    <r>
      <rPr>
        <sz val="12"/>
        <color rgb="FF000000"/>
        <rFont val="Arial"/>
      </rPr>
      <t xml:space="preserve">1. Mix all ingredients together.
2. Store in plastic container
</t>
    </r>
    <r>
      <rPr>
        <b/>
        <sz val="12"/>
        <color rgb="FF000000"/>
        <rFont val="Arial"/>
      </rPr>
      <t>3. Label, Date, Refrigerate</t>
    </r>
  </si>
  <si>
    <t>7 Days</t>
  </si>
  <si>
    <t>Pineapple Teriyaki</t>
  </si>
  <si>
    <t>Minced Garlic</t>
  </si>
  <si>
    <t>tsp</t>
  </si>
  <si>
    <t>Minced Ginger</t>
  </si>
  <si>
    <t>Mirin</t>
  </si>
  <si>
    <t>Slurry</t>
  </si>
  <si>
    <r>
      <rPr>
        <sz val="12"/>
        <color rgb="FF000000"/>
        <rFont val="Arial"/>
      </rPr>
      <t xml:space="preserve">1. Sweat garlic and ginger in sauce pan in seasme oil.
2. Deglaze with mirin 
3. Add the rest of ingredients except slurry and bring to a boil.
4. Add slurry, lower heat, and stir until thick then kill the heat.
5. Let cool then store in plastic container.
</t>
    </r>
    <r>
      <rPr>
        <b/>
        <sz val="12"/>
        <color rgb="FF000000"/>
        <rFont val="Arial"/>
      </rPr>
      <t>6. Label, Date, Refrigerate</t>
    </r>
  </si>
  <si>
    <t>Ranch Dressing</t>
  </si>
  <si>
    <t>Ranch Mix</t>
  </si>
  <si>
    <t>oz</t>
  </si>
  <si>
    <t>Buttermilk</t>
  </si>
  <si>
    <t>Gallon</t>
  </si>
  <si>
    <t>Mayo</t>
  </si>
  <si>
    <r>
      <rPr>
        <sz val="12"/>
        <color rgb="FF000000"/>
        <rFont val="Arial"/>
      </rPr>
      <t xml:space="preserve">1. MIx all ingredients together.
2. Store in plastic container.
3. </t>
    </r>
    <r>
      <rPr>
        <b/>
        <sz val="12"/>
        <color rgb="FF000000"/>
        <rFont val="Arial"/>
      </rPr>
      <t>Label, Date, Refrigerate</t>
    </r>
  </si>
  <si>
    <t>MENU ITEM:</t>
  </si>
  <si>
    <t>RECIPE:</t>
  </si>
  <si>
    <t>Smoked Wings Recipe</t>
  </si>
  <si>
    <t>1/2 Wings</t>
  </si>
  <si>
    <t>1. Fry 6 wings
2.	Toss in desired sauce
3.	Plate with 3 each celery sticks/ carrot sticks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</si>
</sst>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5"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1"/>
      <name val="Calibri"/>
      <family val="2"/>
    </font>
    <font>
      <sz val="12"/>
      <color rgb="FF000000"/>
      <name val="Arial"/>
    </font>
    <font>
      <b/>
      <sz val="12"/>
      <color rgb="FF000000"/>
      <name val="Arial"/>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142">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0" fontId="5" fillId="2" borderId="3" xfId="0" applyNumberFormat="1" applyFont="1" applyBorder="1" applyAlignment="1">
      <alignment horizont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4" fontId="5" fillId="2" borderId="3" xfId="0" applyNumberFormat="1" applyFont="1" applyBorder="1" applyAlignment="1">
      <alignment horizontal="center"/>
    </xf>
    <xf numFmtId="0" fontId="5" fillId="2" borderId="10" xfId="0" applyNumberFormat="1" applyFont="1" applyBorder="1" applyAlignment="1">
      <alignment horizontal="left"/>
    </xf>
    <xf numFmtId="2" fontId="5" fillId="2" borderId="3"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8" xfId="0" applyNumberFormat="1" applyBorder="1" applyAlignment="1" applyProtection="1">
      <alignment horizontal="left" wrapText="1"/>
      <protection locked="0"/>
    </xf>
    <xf numFmtId="1" fontId="3" fillId="2" borderId="3" xfId="0" applyFont="1" applyBorder="1" applyAlignment="1">
      <alignment horizontal="center" wrapText="1"/>
    </xf>
    <xf numFmtId="1" fontId="12" fillId="2" borderId="0" xfId="0" applyFont="1" applyAlignment="1">
      <alignment horizontal="left" vertical="center" indent="4"/>
    </xf>
    <xf numFmtId="1" fontId="1" fillId="2" borderId="3" xfId="0" applyFont="1" applyBorder="1" applyAlignment="1">
      <alignment horizontal="center"/>
    </xf>
    <xf numFmtId="1" fontId="3" fillId="2" borderId="3" xfId="0" applyFont="1" applyBorder="1" applyAlignment="1">
      <alignment horizontal="center"/>
    </xf>
    <xf numFmtId="1" fontId="4" fillId="2" borderId="0" xfId="0" applyFont="1">
      <alignment horizontal="center" vertical="center"/>
    </xf>
    <xf numFmtId="1" fontId="5" fillId="2" borderId="10" xfId="0" applyFont="1" applyBorder="1" applyAlignment="1">
      <alignment horizontal="left"/>
    </xf>
    <xf numFmtId="1" fontId="5" fillId="2" borderId="3" xfId="0" applyFont="1" applyBorder="1" applyAlignment="1">
      <alignment horizontal="center"/>
    </xf>
    <xf numFmtId="1" fontId="5" fillId="2" borderId="16" xfId="0" applyFont="1" applyBorder="1" applyAlignment="1" applyProtection="1">
      <alignment horizontal="left"/>
      <protection locked="0"/>
    </xf>
    <xf numFmtId="1" fontId="5" fillId="2" borderId="17" xfId="0" applyFont="1" applyBorder="1" applyAlignment="1" applyProtection="1">
      <alignment horizontal="left"/>
      <protection locked="0"/>
    </xf>
    <xf numFmtId="1" fontId="0" fillId="2" borderId="18" xfId="0" applyBorder="1" applyAlignment="1" applyProtection="1">
      <alignment horizontal="left" wrapText="1"/>
      <protection locked="0"/>
    </xf>
    <xf numFmtId="1" fontId="0" fillId="2" borderId="19" xfId="0" applyBorder="1" applyProtection="1">
      <alignment horizontal="center" vertical="center"/>
      <protection locked="0"/>
    </xf>
    <xf numFmtId="1" fontId="3" fillId="2" borderId="4" xfId="0" applyFont="1" applyBorder="1" applyAlignment="1" applyProtection="1">
      <alignment horizontal="center" vertical="center" wrapText="1"/>
      <protection locked="0"/>
    </xf>
    <xf numFmtId="1" fontId="3" fillId="2" borderId="6" xfId="0" applyFont="1" applyBorder="1" applyAlignment="1" applyProtection="1">
      <alignment horizontal="center" vertical="top" readingOrder="1"/>
      <protection locked="0"/>
    </xf>
    <xf numFmtId="1" fontId="5" fillId="2" borderId="18"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19" xfId="0" applyFont="1" applyBorder="1" applyAlignment="1" applyProtection="1">
      <alignment horizontal="left" wrapText="1" readingOrder="1"/>
      <protection locked="0"/>
    </xf>
    <xf numFmtId="1" fontId="0" fillId="2" borderId="0" xfId="0" applyAlignment="1" applyProtection="1">
      <alignment horizontal="center" wrapText="1"/>
      <protection locked="0"/>
    </xf>
    <xf numFmtId="1" fontId="0" fillId="2" borderId="19" xfId="0" applyBorder="1" applyAlignment="1" applyProtection="1">
      <alignment horizontal="center" wrapText="1"/>
      <protection locked="0"/>
    </xf>
    <xf numFmtId="1" fontId="5" fillId="2" borderId="20" xfId="0" applyFont="1" applyBorder="1" applyAlignment="1" applyProtection="1">
      <alignment horizontal="left" wrapText="1" readingOrder="1"/>
      <protection locked="0"/>
    </xf>
    <xf numFmtId="1" fontId="5" fillId="2" borderId="21" xfId="0" applyFont="1" applyBorder="1" applyAlignment="1" applyProtection="1">
      <alignment horizontal="left" wrapText="1" readingOrder="1"/>
      <protection locked="0"/>
    </xf>
    <xf numFmtId="1" fontId="5" fillId="2" borderId="22" xfId="0" applyFont="1" applyBorder="1" applyAlignment="1" applyProtection="1">
      <alignment horizontal="left" wrapText="1" readingOrder="1"/>
      <protection locked="0"/>
    </xf>
    <xf numFmtId="1" fontId="0" fillId="2" borderId="21" xfId="0" applyBorder="1" applyAlignment="1" applyProtection="1">
      <alignment horizontal="center" wrapText="1"/>
      <protection locked="0"/>
    </xf>
    <xf numFmtId="1" fontId="0" fillId="2" borderId="22" xfId="0" applyBorder="1" applyAlignment="1" applyProtection="1">
      <alignment horizontal="center" wrapText="1"/>
      <protection locked="0"/>
    </xf>
    <xf numFmtId="1" fontId="0" fillId="2" borderId="3" xfId="0" applyBorder="1" applyAlignment="1">
      <alignment horizontal="left"/>
    </xf>
    <xf numFmtId="1" fontId="0" fillId="2" borderId="3" xfId="0" applyBorder="1">
      <alignment horizontal="center" vertical="center"/>
    </xf>
    <xf numFmtId="0" fontId="13" fillId="2" borderId="18" xfId="0" applyNumberFormat="1" applyFont="1" applyBorder="1" applyAlignment="1" applyProtection="1">
      <alignment horizontal="left" wrapText="1"/>
      <protection locked="0"/>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7" fillId="2" borderId="11" xfId="0" applyNumberFormat="1" applyFont="1" applyBorder="1" applyAlignment="1">
      <alignment horizontal="center"/>
    </xf>
    <xf numFmtId="0" fontId="7" fillId="2" borderId="27" xfId="0" applyNumberFormat="1" applyFont="1" applyBorder="1" applyAlignment="1">
      <alignment horizontal="center"/>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7" fontId="7" fillId="2" borderId="9" xfId="0" applyNumberFormat="1" applyFont="1" applyBorder="1" applyAlignment="1">
      <alignment horizontal="center"/>
    </xf>
    <xf numFmtId="7" fontId="7" fillId="2" borderId="15" xfId="0" applyNumberFormat="1" applyFont="1" applyBorder="1" applyAlignment="1">
      <alignment horizontal="center"/>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0" fillId="2" borderId="20" xfId="0" applyNumberFormat="1" applyBorder="1" applyAlignment="1" applyProtection="1">
      <alignment horizontal="left"/>
      <protection locked="0"/>
    </xf>
    <xf numFmtId="1" fontId="0" fillId="2" borderId="22" xfId="0" applyBorder="1" applyAlignment="1" applyProtection="1">
      <alignment horizontal="left"/>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1" fontId="8" fillId="2" borderId="23" xfId="0" applyFont="1" applyBorder="1" applyAlignment="1" applyProtection="1">
      <alignment horizontal="left" vertical="top" wrapText="1"/>
      <protection locked="0"/>
    </xf>
    <xf numFmtId="1" fontId="8" fillId="2" borderId="12" xfId="0" applyFont="1" applyBorder="1" applyAlignment="1" applyProtection="1">
      <alignment horizontal="left" vertical="top" wrapText="1"/>
      <protection locked="0"/>
    </xf>
    <xf numFmtId="1" fontId="7" fillId="2" borderId="11" xfId="0" applyFont="1" applyBorder="1" applyAlignment="1">
      <alignment horizontal="center"/>
    </xf>
    <xf numFmtId="1" fontId="7" fillId="2" borderId="27" xfId="0" applyFont="1" applyBorder="1" applyAlignment="1">
      <alignment horizontal="center"/>
    </xf>
    <xf numFmtId="1" fontId="8" fillId="2" borderId="16" xfId="0" applyFont="1" applyBorder="1" applyAlignment="1" applyProtection="1">
      <alignment horizontal="left" vertical="top" wrapText="1"/>
      <protection locked="0"/>
    </xf>
    <xf numFmtId="1" fontId="8" fillId="2" borderId="4" xfId="0" applyFont="1" applyBorder="1" applyAlignment="1" applyProtection="1">
      <alignment horizontal="left" vertical="top" wrapText="1"/>
      <protection locked="0"/>
    </xf>
    <xf numFmtId="1" fontId="6" fillId="2" borderId="9" xfId="0" applyFont="1" applyBorder="1" applyAlignment="1" applyProtection="1">
      <alignment horizontal="center" wrapText="1" readingOrder="1"/>
      <protection locked="0"/>
    </xf>
    <xf numFmtId="1" fontId="6" fillId="2" borderId="24" xfId="0" applyFont="1" applyBorder="1" applyAlignment="1" applyProtection="1">
      <alignment horizontal="center" wrapText="1" readingOrder="1"/>
      <protection locked="0"/>
    </xf>
    <xf numFmtId="1" fontId="0" fillId="2" borderId="18" xfId="0" applyBorder="1" applyAlignment="1" applyProtection="1">
      <alignment horizontal="left" vertical="center"/>
      <protection locked="0"/>
    </xf>
    <xf numFmtId="1" fontId="0" fillId="2" borderId="0" xfId="0" applyAlignment="1" applyProtection="1">
      <alignment horizontal="left" vertical="center"/>
      <protection locked="0"/>
    </xf>
    <xf numFmtId="1" fontId="0" fillId="2" borderId="19" xfId="0" applyBorder="1" applyAlignment="1" applyProtection="1">
      <alignment horizontal="left" vertical="center"/>
      <protection locked="0"/>
    </xf>
    <xf numFmtId="1" fontId="5" fillId="2" borderId="18"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19" xfId="0" applyFont="1" applyBorder="1" applyAlignment="1" applyProtection="1">
      <alignment horizontal="left" wrapText="1" readingOrder="1"/>
      <protection locked="0"/>
    </xf>
    <xf numFmtId="1" fontId="6" fillId="2" borderId="7" xfId="0" applyFont="1" applyBorder="1" applyAlignment="1">
      <alignment horizontal="center" vertical="top" readingOrder="1"/>
    </xf>
    <xf numFmtId="1" fontId="6" fillId="2" borderId="13" xfId="0" applyFont="1" applyBorder="1" applyAlignment="1">
      <alignment horizontal="center" vertical="top" readingOrder="1"/>
    </xf>
    <xf numFmtId="1" fontId="6" fillId="2" borderId="14" xfId="0" applyFont="1" applyBorder="1" applyAlignment="1">
      <alignment horizontal="center" vertical="top" readingOrder="1"/>
    </xf>
    <xf numFmtId="1" fontId="0" fillId="2" borderId="18" xfId="0" applyBorder="1" applyAlignment="1" applyProtection="1">
      <alignment horizontal="left" vertical="top" readingOrder="1"/>
      <protection locked="0"/>
    </xf>
    <xf numFmtId="1" fontId="0" fillId="2" borderId="19" xfId="0" applyBorder="1" applyAlignment="1" applyProtection="1">
      <alignment horizontal="left" vertical="top" readingOrder="1"/>
      <protection locked="0"/>
    </xf>
    <xf numFmtId="1" fontId="0" fillId="2" borderId="18" xfId="0" applyBorder="1" applyAlignment="1" applyProtection="1">
      <alignment horizontal="left"/>
      <protection locked="0"/>
    </xf>
    <xf numFmtId="1" fontId="0" fillId="2" borderId="20" xfId="0" applyBorder="1" applyAlignment="1" applyProtection="1">
      <alignment horizontal="left"/>
      <protection locked="0"/>
    </xf>
    <xf numFmtId="1" fontId="6" fillId="2" borderId="18" xfId="0" applyFont="1" applyBorder="1" applyAlignment="1">
      <alignment horizontal="center" wrapText="1"/>
    </xf>
    <xf numFmtId="1" fontId="6" fillId="2" borderId="19" xfId="0" applyFont="1" applyBorder="1" applyAlignment="1">
      <alignment horizontal="center" wrapText="1"/>
    </xf>
    <xf numFmtId="1" fontId="2" fillId="2" borderId="3" xfId="0" applyFont="1" applyBorder="1" applyAlignment="1" applyProtection="1">
      <alignment horizontal="center"/>
      <protection locked="0"/>
    </xf>
    <xf numFmtId="1" fontId="6" fillId="2" borderId="7" xfId="0" applyFont="1" applyBorder="1" applyAlignment="1">
      <alignment horizontal="center" vertical="center" wrapText="1" readingOrder="1"/>
    </xf>
    <xf numFmtId="1" fontId="6" fillId="2" borderId="14" xfId="0" applyFont="1" applyBorder="1" applyAlignment="1">
      <alignment horizontal="center" vertical="center" wrapText="1" readingOrder="1"/>
    </xf>
    <xf numFmtId="1" fontId="3" fillId="2" borderId="26" xfId="0" applyFont="1" applyBorder="1" applyAlignment="1">
      <alignment horizontal="right" wrapText="1" readingOrder="1"/>
    </xf>
    <xf numFmtId="1" fontId="3" fillId="2" borderId="3" xfId="0" applyFont="1" applyBorder="1" applyAlignment="1">
      <alignment horizontal="right" wrapText="1" readingOrder="1"/>
    </xf>
    <xf numFmtId="1" fontId="3" fillId="2" borderId="25" xfId="0" applyFont="1" applyBorder="1" applyAlignment="1">
      <alignment horizontal="right" wrapText="1" readingOrder="1"/>
    </xf>
    <xf numFmtId="1" fontId="3" fillId="2" borderId="5" xfId="0" applyFont="1" applyBorder="1" applyAlignment="1">
      <alignment horizontal="right" wrapText="1" readingOrder="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5308-E8E6-413C-B96C-A08542A66EE8}">
  <sheetPr codeName="Sheet1">
    <tabColor rgb="FF00FF00"/>
    <pageSetUpPr fitToPage="1"/>
  </sheetPr>
  <dimension ref="A1:E59"/>
  <sheetViews>
    <sheetView tabSelected="1" zoomScale="75" zoomScaleNormal="75" workbookViewId="0">
      <selection activeCell="A31" sqref="A31:B31"/>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104</v>
      </c>
      <c r="B1" s="101" t="s">
        <v>107</v>
      </c>
      <c r="C1" s="102"/>
      <c r="D1" s="102"/>
      <c r="E1" s="103"/>
    </row>
    <row r="2" spans="1:5" s="4" customFormat="1" ht="23.25" x14ac:dyDescent="0.35">
      <c r="A2" s="11" t="s">
        <v>1</v>
      </c>
      <c r="B2" s="2" t="s">
        <v>2</v>
      </c>
      <c r="C2" s="2" t="s">
        <v>3</v>
      </c>
      <c r="D2" s="2" t="s">
        <v>4</v>
      </c>
      <c r="E2" s="3" t="s">
        <v>5</v>
      </c>
    </row>
    <row r="3" spans="1:5" ht="19.5" customHeight="1" x14ac:dyDescent="0.25">
      <c r="A3" s="17" t="s">
        <v>0</v>
      </c>
      <c r="B3" s="18"/>
      <c r="C3" s="19"/>
      <c r="D3" s="20"/>
      <c r="E3" s="6"/>
    </row>
    <row r="4" spans="1:5" ht="19.5" customHeight="1" x14ac:dyDescent="0.25">
      <c r="A4" s="17" t="s">
        <v>6</v>
      </c>
      <c r="B4" s="44"/>
      <c r="C4" s="44"/>
      <c r="D4" s="20"/>
      <c r="E4" s="6"/>
    </row>
    <row r="5" spans="1:5" ht="19.5" customHeight="1" x14ac:dyDescent="0.25">
      <c r="A5" s="21" t="s">
        <v>7</v>
      </c>
      <c r="B5" s="44"/>
      <c r="C5" s="44"/>
      <c r="D5" s="20"/>
      <c r="E5" s="6"/>
    </row>
    <row r="6" spans="1:5" ht="19.5" customHeight="1" x14ac:dyDescent="0.25">
      <c r="A6" s="17" t="s">
        <v>8</v>
      </c>
      <c r="B6" s="44"/>
      <c r="C6" s="44"/>
      <c r="D6" s="20"/>
      <c r="E6" s="6"/>
    </row>
    <row r="7" spans="1:5" ht="19.5" customHeight="1" x14ac:dyDescent="0.25">
      <c r="A7" s="17" t="s">
        <v>9</v>
      </c>
      <c r="B7" s="18"/>
      <c r="C7" s="19"/>
      <c r="D7" s="20"/>
      <c r="E7" s="6"/>
    </row>
    <row r="8" spans="1:5" ht="19.5" customHeight="1" x14ac:dyDescent="0.25">
      <c r="A8" s="17"/>
      <c r="B8" s="18"/>
      <c r="C8" s="19"/>
      <c r="D8" s="20"/>
      <c r="E8" s="6"/>
    </row>
    <row r="9" spans="1:5" ht="19.5" customHeight="1" x14ac:dyDescent="0.25">
      <c r="A9" s="17"/>
      <c r="B9" s="18"/>
      <c r="C9" s="19"/>
      <c r="D9" s="20"/>
      <c r="E9" s="6"/>
    </row>
    <row r="10" spans="1:5" ht="19.5" customHeight="1" x14ac:dyDescent="0.25">
      <c r="A10" s="17"/>
      <c r="B10" s="18"/>
      <c r="C10" s="19"/>
      <c r="D10" s="20"/>
      <c r="E10" s="6"/>
    </row>
    <row r="11" spans="1:5" ht="19.5" customHeight="1" x14ac:dyDescent="0.25">
      <c r="A11" s="17"/>
      <c r="B11" s="22"/>
      <c r="C11" s="19"/>
      <c r="D11" s="20"/>
      <c r="E11" s="6"/>
    </row>
    <row r="12" spans="1:5" ht="19.5" customHeight="1" x14ac:dyDescent="0.25">
      <c r="A12" s="17"/>
      <c r="B12" s="22"/>
      <c r="C12" s="19"/>
      <c r="D12" s="20"/>
      <c r="E12" s="6"/>
    </row>
    <row r="13" spans="1:5" ht="19.5" customHeight="1" x14ac:dyDescent="0.25">
      <c r="A13" s="17"/>
      <c r="B13" s="22"/>
      <c r="C13" s="19"/>
      <c r="D13" s="20"/>
      <c r="E13" s="6"/>
    </row>
    <row r="14" spans="1:5" ht="19.5" customHeight="1" x14ac:dyDescent="0.25">
      <c r="A14" s="17"/>
      <c r="B14" s="22"/>
      <c r="C14" s="19"/>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104" t="s">
        <v>10</v>
      </c>
      <c r="B24" s="105"/>
      <c r="C24" s="106" t="s">
        <v>11</v>
      </c>
      <c r="D24" s="107"/>
      <c r="E24" s="37">
        <v>1</v>
      </c>
    </row>
    <row r="25" spans="1:5" ht="60" customHeight="1" x14ac:dyDescent="0.35">
      <c r="A25" s="45" t="s">
        <v>108</v>
      </c>
      <c r="B25" s="27"/>
      <c r="C25" s="108" t="s">
        <v>12</v>
      </c>
      <c r="D25" s="109"/>
      <c r="E25" s="38" t="s">
        <v>13</v>
      </c>
    </row>
    <row r="26" spans="1:5" ht="21" customHeight="1" thickBot="1" x14ac:dyDescent="0.4">
      <c r="A26" s="95"/>
      <c r="B26" s="96"/>
      <c r="C26" s="110" t="s">
        <v>14</v>
      </c>
      <c r="D26" s="111"/>
      <c r="E26" s="39" t="s">
        <v>15</v>
      </c>
    </row>
    <row r="27" spans="1:5" ht="23.25" x14ac:dyDescent="0.2">
      <c r="A27" s="93"/>
      <c r="B27" s="94"/>
      <c r="C27" s="90" t="s">
        <v>16</v>
      </c>
      <c r="D27" s="91"/>
      <c r="E27" s="92"/>
    </row>
    <row r="28" spans="1:5" ht="27.75" customHeight="1" x14ac:dyDescent="0.25">
      <c r="A28" s="95"/>
      <c r="B28" s="96"/>
      <c r="C28" s="87" t="s">
        <v>17</v>
      </c>
      <c r="D28" s="88"/>
      <c r="E28" s="89"/>
    </row>
    <row r="29" spans="1:5" ht="18" customHeight="1" x14ac:dyDescent="0.25">
      <c r="A29" s="95"/>
      <c r="B29" s="96"/>
      <c r="C29" s="87" t="s">
        <v>18</v>
      </c>
      <c r="D29" s="88"/>
      <c r="E29" s="89"/>
    </row>
    <row r="30" spans="1:5" ht="18" x14ac:dyDescent="0.25">
      <c r="A30" s="93"/>
      <c r="B30" s="94"/>
      <c r="C30" s="87" t="s">
        <v>19</v>
      </c>
      <c r="D30" s="88"/>
      <c r="E30" s="89"/>
    </row>
    <row r="31" spans="1:5" ht="17.100000000000001" customHeight="1" x14ac:dyDescent="0.25">
      <c r="A31" s="95"/>
      <c r="B31" s="96"/>
      <c r="C31" s="87" t="s">
        <v>20</v>
      </c>
      <c r="D31" s="88"/>
      <c r="E31" s="89"/>
    </row>
    <row r="32" spans="1:5" ht="17.100000000000001" customHeight="1" thickBot="1" x14ac:dyDescent="0.3">
      <c r="A32" s="97"/>
      <c r="B32" s="98"/>
      <c r="C32" s="87"/>
      <c r="D32" s="88"/>
      <c r="E32" s="89"/>
    </row>
    <row r="33" spans="1:5" ht="22.5" customHeight="1" x14ac:dyDescent="0.35">
      <c r="A33" s="99" t="s">
        <v>21</v>
      </c>
      <c r="B33" s="100"/>
      <c r="C33" s="87" t="s">
        <v>22</v>
      </c>
      <c r="D33" s="88"/>
      <c r="E33" s="89"/>
    </row>
    <row r="34" spans="1:5" ht="17.100000000000001" customHeight="1" x14ac:dyDescent="0.25">
      <c r="A34" s="40"/>
      <c r="B34" s="41"/>
      <c r="C34" s="87"/>
      <c r="D34" s="88"/>
      <c r="E34" s="89"/>
    </row>
    <row r="35" spans="1:5" ht="17.100000000000001" customHeight="1" x14ac:dyDescent="0.25">
      <c r="A35" s="40"/>
      <c r="B35" s="41"/>
      <c r="C35" s="87"/>
      <c r="D35" s="88"/>
      <c r="E35" s="89"/>
    </row>
    <row r="36" spans="1:5" ht="16.5" customHeight="1" x14ac:dyDescent="0.25">
      <c r="A36" s="40"/>
      <c r="B36" s="41"/>
      <c r="C36" s="87"/>
      <c r="D36" s="88"/>
      <c r="E36" s="89"/>
    </row>
    <row r="37" spans="1:5" ht="16.5" customHeight="1" x14ac:dyDescent="0.25">
      <c r="A37" s="40"/>
      <c r="B37" s="41"/>
      <c r="C37" s="87"/>
      <c r="D37" s="88"/>
      <c r="E37" s="89"/>
    </row>
    <row r="38" spans="1:5" ht="16.5" customHeight="1" x14ac:dyDescent="0.25">
      <c r="A38" s="40"/>
      <c r="B38" s="41"/>
      <c r="C38" s="87"/>
      <c r="D38" s="88"/>
      <c r="E38" s="89"/>
    </row>
    <row r="39" spans="1:5" ht="16.5" customHeight="1" x14ac:dyDescent="0.25">
      <c r="A39" s="40"/>
      <c r="B39" s="41"/>
      <c r="C39" s="87"/>
      <c r="D39" s="88"/>
      <c r="E39" s="89"/>
    </row>
    <row r="40" spans="1:5" ht="16.5" customHeight="1" x14ac:dyDescent="0.25">
      <c r="A40" s="40"/>
      <c r="B40" s="41"/>
      <c r="C40" s="28"/>
      <c r="D40" s="29"/>
      <c r="E40" s="30"/>
    </row>
    <row r="41" spans="1:5" ht="16.5" customHeight="1" x14ac:dyDescent="0.25">
      <c r="A41" s="40"/>
      <c r="B41" s="41"/>
      <c r="C41" s="87"/>
      <c r="D41" s="88"/>
      <c r="E41" s="89"/>
    </row>
    <row r="42" spans="1:5" ht="16.5" customHeight="1" thickBot="1" x14ac:dyDescent="0.3">
      <c r="A42" s="40"/>
      <c r="B42" s="41"/>
      <c r="C42" s="31"/>
      <c r="D42" s="32"/>
      <c r="E42" s="33"/>
    </row>
    <row r="43" spans="1:5" ht="23.25" customHeight="1" x14ac:dyDescent="0.2">
      <c r="A43" s="40"/>
      <c r="B43" s="41"/>
      <c r="C43" s="90" t="s">
        <v>23</v>
      </c>
      <c r="D43" s="91"/>
      <c r="E43" s="92"/>
    </row>
    <row r="44" spans="1:5" ht="16.5" customHeight="1" x14ac:dyDescent="0.2">
      <c r="A44" s="40"/>
      <c r="B44" s="41"/>
      <c r="C44" s="84" t="s">
        <v>24</v>
      </c>
      <c r="D44" s="85"/>
      <c r="E44" s="86"/>
    </row>
    <row r="45" spans="1:5" ht="16.5" customHeight="1" x14ac:dyDescent="0.2">
      <c r="A45" s="40"/>
      <c r="B45" s="41"/>
      <c r="C45" s="84"/>
      <c r="D45" s="85"/>
      <c r="E45" s="86"/>
    </row>
    <row r="46" spans="1:5" ht="16.5" customHeight="1" x14ac:dyDescent="0.2">
      <c r="A46" s="40"/>
      <c r="B46" s="41"/>
      <c r="C46" s="84"/>
      <c r="D46" s="85"/>
      <c r="E46" s="86"/>
    </row>
    <row r="47" spans="1:5" ht="16.5" customHeight="1" x14ac:dyDescent="0.2">
      <c r="A47" s="40"/>
      <c r="B47" s="41"/>
      <c r="C47" s="84"/>
      <c r="D47" s="85"/>
      <c r="E47" s="86"/>
    </row>
    <row r="48" spans="1:5" ht="16.5" customHeight="1" x14ac:dyDescent="0.2">
      <c r="A48" s="40"/>
      <c r="B48" s="41"/>
      <c r="C48" s="84"/>
      <c r="D48" s="85"/>
      <c r="E48" s="86"/>
    </row>
    <row r="49" spans="1:5" ht="16.5" customHeight="1" x14ac:dyDescent="0.2">
      <c r="A49" s="40"/>
      <c r="B49" s="41"/>
      <c r="C49" s="84"/>
      <c r="D49" s="85"/>
      <c r="E49" s="86"/>
    </row>
    <row r="50" spans="1:5" ht="16.5" customHeight="1" x14ac:dyDescent="0.2">
      <c r="A50" s="40"/>
      <c r="B50" s="41"/>
      <c r="C50" s="84"/>
      <c r="D50" s="85"/>
      <c r="E50" s="86"/>
    </row>
    <row r="51" spans="1:5" ht="16.5" customHeight="1" thickBot="1" x14ac:dyDescent="0.25">
      <c r="A51" s="42"/>
      <c r="B51" s="43"/>
      <c r="C51" s="84"/>
      <c r="D51" s="85"/>
      <c r="E51" s="86"/>
    </row>
    <row r="52" spans="1:5" ht="23.25" x14ac:dyDescent="0.35">
      <c r="A52" s="80" t="s">
        <v>25</v>
      </c>
      <c r="B52" s="81"/>
      <c r="C52" s="82" t="s">
        <v>26</v>
      </c>
      <c r="D52" s="83"/>
      <c r="E52" s="12">
        <f>SUM(E3:E23)</f>
        <v>0</v>
      </c>
    </row>
    <row r="53" spans="1:5" ht="18.75" customHeight="1" x14ac:dyDescent="0.25">
      <c r="A53" s="76" t="s">
        <v>27</v>
      </c>
      <c r="B53" s="77"/>
      <c r="C53" s="78" t="s">
        <v>28</v>
      </c>
      <c r="D53" s="79"/>
      <c r="E53" s="34">
        <v>1</v>
      </c>
    </row>
    <row r="54" spans="1:5" ht="18.75" customHeight="1" x14ac:dyDescent="0.25">
      <c r="A54" s="76" t="s">
        <v>29</v>
      </c>
      <c r="B54" s="77"/>
      <c r="C54" s="78" t="s">
        <v>30</v>
      </c>
      <c r="D54" s="79"/>
      <c r="E54" s="8">
        <f>SUM(E52/E53)</f>
        <v>0</v>
      </c>
    </row>
    <row r="55" spans="1:5" ht="18.75" customHeight="1" x14ac:dyDescent="0.25">
      <c r="A55" s="76" t="s">
        <v>31</v>
      </c>
      <c r="B55" s="77"/>
      <c r="C55" s="78" t="s">
        <v>32</v>
      </c>
      <c r="D55" s="79"/>
      <c r="E55" s="35">
        <v>0.04</v>
      </c>
    </row>
    <row r="56" spans="1:5" ht="18.75" customHeight="1" x14ac:dyDescent="0.25">
      <c r="A56" s="76" t="s">
        <v>33</v>
      </c>
      <c r="B56" s="77"/>
      <c r="C56" s="78" t="s">
        <v>5</v>
      </c>
      <c r="D56" s="79"/>
      <c r="E56" s="8">
        <f>(+E54*E55)+E54</f>
        <v>0</v>
      </c>
    </row>
    <row r="57" spans="1:5" ht="18.75" customHeight="1" x14ac:dyDescent="0.25">
      <c r="A57" s="76" t="s">
        <v>34</v>
      </c>
      <c r="B57" s="77"/>
      <c r="C57" s="78" t="s">
        <v>35</v>
      </c>
      <c r="D57" s="79"/>
      <c r="E57" s="36">
        <v>12</v>
      </c>
    </row>
    <row r="58" spans="1:5" ht="18.75" customHeight="1" thickBot="1" x14ac:dyDescent="0.3">
      <c r="A58" s="72" t="s">
        <v>36</v>
      </c>
      <c r="B58" s="73"/>
      <c r="C58" s="74" t="s">
        <v>37</v>
      </c>
      <c r="D58" s="75"/>
      <c r="E58" s="16">
        <f>SUM(E56/E57)</f>
        <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FF00"/>
    <pageSetUpPr fitToPage="1"/>
  </sheetPr>
  <dimension ref="A1:E59"/>
  <sheetViews>
    <sheetView zoomScale="75" zoomScaleNormal="75" workbookViewId="0">
      <selection activeCell="B1" sqref="B1:E1"/>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101" t="s">
        <v>106</v>
      </c>
      <c r="C1" s="102"/>
      <c r="D1" s="102"/>
      <c r="E1" s="103"/>
    </row>
    <row r="2" spans="1:5" s="4" customFormat="1" ht="23.25" x14ac:dyDescent="0.35">
      <c r="A2" s="11" t="s">
        <v>1</v>
      </c>
      <c r="B2" s="2" t="s">
        <v>2</v>
      </c>
      <c r="C2" s="2" t="s">
        <v>3</v>
      </c>
      <c r="D2" s="2" t="s">
        <v>4</v>
      </c>
      <c r="E2" s="3" t="s">
        <v>5</v>
      </c>
    </row>
    <row r="3" spans="1:5" ht="19.5" customHeight="1" x14ac:dyDescent="0.25">
      <c r="A3" s="17" t="s">
        <v>0</v>
      </c>
      <c r="B3" s="18">
        <v>1</v>
      </c>
      <c r="C3" s="19" t="s">
        <v>38</v>
      </c>
      <c r="D3" s="20">
        <v>63.96</v>
      </c>
      <c r="E3" s="6">
        <v>63.96</v>
      </c>
    </row>
    <row r="4" spans="1:5" ht="19.5" customHeight="1" x14ac:dyDescent="0.25">
      <c r="A4" s="17" t="s">
        <v>39</v>
      </c>
      <c r="B4" s="44">
        <v>0.5</v>
      </c>
      <c r="C4" s="44" t="s">
        <v>40</v>
      </c>
      <c r="D4" s="20">
        <v>20.38</v>
      </c>
      <c r="E4" s="6">
        <v>10.19</v>
      </c>
    </row>
    <row r="5" spans="1:5" ht="19.5" customHeight="1" x14ac:dyDescent="0.25">
      <c r="A5" s="21"/>
      <c r="B5" s="44"/>
      <c r="C5" s="44"/>
      <c r="D5" s="20"/>
      <c r="E5" s="6"/>
    </row>
    <row r="6" spans="1:5" ht="19.5" customHeight="1" x14ac:dyDescent="0.25">
      <c r="A6" s="17"/>
      <c r="B6" s="44"/>
      <c r="C6" s="44"/>
      <c r="D6" s="20"/>
      <c r="E6" s="6"/>
    </row>
    <row r="7" spans="1:5" ht="19.5" customHeight="1" x14ac:dyDescent="0.25">
      <c r="A7" s="17"/>
      <c r="B7" s="18"/>
      <c r="C7" s="19"/>
      <c r="D7" s="20"/>
      <c r="E7" s="6"/>
    </row>
    <row r="8" spans="1:5" ht="19.5" customHeight="1" x14ac:dyDescent="0.25">
      <c r="A8" s="17"/>
      <c r="B8" s="18"/>
      <c r="C8" s="19"/>
      <c r="D8" s="20"/>
      <c r="E8" s="6"/>
    </row>
    <row r="9" spans="1:5" ht="19.5" customHeight="1" x14ac:dyDescent="0.25">
      <c r="A9" s="17"/>
      <c r="B9" s="18"/>
      <c r="C9" s="19"/>
      <c r="D9" s="20"/>
      <c r="E9" s="6"/>
    </row>
    <row r="10" spans="1:5" ht="19.5" customHeight="1" x14ac:dyDescent="0.25">
      <c r="A10" s="17"/>
      <c r="B10" s="18"/>
      <c r="C10" s="19"/>
      <c r="D10" s="20"/>
      <c r="E10" s="6"/>
    </row>
    <row r="11" spans="1:5" ht="19.5" customHeight="1" x14ac:dyDescent="0.25">
      <c r="A11" s="17"/>
      <c r="B11" s="22"/>
      <c r="C11" s="19"/>
      <c r="D11" s="20"/>
      <c r="E11" s="6"/>
    </row>
    <row r="12" spans="1:5" ht="19.5" customHeight="1" x14ac:dyDescent="0.25">
      <c r="A12" s="17"/>
      <c r="B12" s="22"/>
      <c r="C12" s="19"/>
      <c r="D12" s="20"/>
      <c r="E12" s="6"/>
    </row>
    <row r="13" spans="1:5" ht="19.5" customHeight="1" x14ac:dyDescent="0.25">
      <c r="A13" s="17"/>
      <c r="B13" s="22"/>
      <c r="C13" s="19"/>
      <c r="D13" s="20"/>
      <c r="E13" s="6"/>
    </row>
    <row r="14" spans="1:5" ht="19.5" customHeight="1" x14ac:dyDescent="0.25">
      <c r="A14" s="17"/>
      <c r="B14" s="22"/>
      <c r="C14" s="19"/>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104" t="s">
        <v>10</v>
      </c>
      <c r="B24" s="105"/>
      <c r="C24" s="106" t="s">
        <v>11</v>
      </c>
      <c r="D24" s="107"/>
      <c r="E24" s="37">
        <v>1</v>
      </c>
    </row>
    <row r="25" spans="1:5" ht="138.75" customHeight="1" x14ac:dyDescent="0.35">
      <c r="A25" s="45" t="s">
        <v>41</v>
      </c>
      <c r="B25" s="27"/>
      <c r="C25" s="108" t="s">
        <v>12</v>
      </c>
      <c r="D25" s="109"/>
      <c r="E25" s="38" t="s">
        <v>13</v>
      </c>
    </row>
    <row r="26" spans="1:5" ht="21" customHeight="1" thickBot="1" x14ac:dyDescent="0.4">
      <c r="A26" s="95"/>
      <c r="B26" s="96"/>
      <c r="C26" s="110" t="s">
        <v>14</v>
      </c>
      <c r="D26" s="111"/>
      <c r="E26" s="39" t="s">
        <v>15</v>
      </c>
    </row>
    <row r="27" spans="1:5" ht="23.25" x14ac:dyDescent="0.2">
      <c r="A27" s="93"/>
      <c r="B27" s="94"/>
      <c r="C27" s="90" t="s">
        <v>16</v>
      </c>
      <c r="D27" s="91"/>
      <c r="E27" s="92"/>
    </row>
    <row r="28" spans="1:5" ht="27.75" customHeight="1" x14ac:dyDescent="0.25">
      <c r="A28" s="95"/>
      <c r="B28" s="96"/>
      <c r="C28" s="87" t="s">
        <v>17</v>
      </c>
      <c r="D28" s="88"/>
      <c r="E28" s="89"/>
    </row>
    <row r="29" spans="1:5" ht="18" customHeight="1" x14ac:dyDescent="0.25">
      <c r="A29" s="95"/>
      <c r="B29" s="96"/>
      <c r="C29" s="87" t="s">
        <v>18</v>
      </c>
      <c r="D29" s="88"/>
      <c r="E29" s="89"/>
    </row>
    <row r="30" spans="1:5" ht="18" x14ac:dyDescent="0.25">
      <c r="A30" s="93"/>
      <c r="B30" s="94"/>
      <c r="C30" s="87" t="s">
        <v>19</v>
      </c>
      <c r="D30" s="88"/>
      <c r="E30" s="89"/>
    </row>
    <row r="31" spans="1:5" ht="17.100000000000001" customHeight="1" x14ac:dyDescent="0.25">
      <c r="A31" s="95"/>
      <c r="B31" s="96"/>
      <c r="C31" s="87" t="s">
        <v>20</v>
      </c>
      <c r="D31" s="88"/>
      <c r="E31" s="89"/>
    </row>
    <row r="32" spans="1:5" ht="17.100000000000001" customHeight="1" thickBot="1" x14ac:dyDescent="0.3">
      <c r="A32" s="97"/>
      <c r="B32" s="98"/>
      <c r="C32" s="87"/>
      <c r="D32" s="88"/>
      <c r="E32" s="89"/>
    </row>
    <row r="33" spans="1:5" ht="22.5" customHeight="1" x14ac:dyDescent="0.35">
      <c r="A33" s="99" t="s">
        <v>21</v>
      </c>
      <c r="B33" s="100"/>
      <c r="C33" s="87" t="s">
        <v>22</v>
      </c>
      <c r="D33" s="88"/>
      <c r="E33" s="89"/>
    </row>
    <row r="34" spans="1:5" ht="17.100000000000001" customHeight="1" x14ac:dyDescent="0.25">
      <c r="A34" s="40"/>
      <c r="B34" s="41"/>
      <c r="C34" s="87"/>
      <c r="D34" s="88"/>
      <c r="E34" s="89"/>
    </row>
    <row r="35" spans="1:5" ht="17.100000000000001" customHeight="1" x14ac:dyDescent="0.25">
      <c r="A35" s="40"/>
      <c r="B35" s="41"/>
      <c r="C35" s="87"/>
      <c r="D35" s="88"/>
      <c r="E35" s="89"/>
    </row>
    <row r="36" spans="1:5" ht="16.5" customHeight="1" x14ac:dyDescent="0.25">
      <c r="A36" s="40"/>
      <c r="B36" s="41"/>
      <c r="C36" s="87"/>
      <c r="D36" s="88"/>
      <c r="E36" s="89"/>
    </row>
    <row r="37" spans="1:5" ht="16.5" customHeight="1" x14ac:dyDescent="0.25">
      <c r="A37" s="40"/>
      <c r="B37" s="41"/>
      <c r="C37" s="87"/>
      <c r="D37" s="88"/>
      <c r="E37" s="89"/>
    </row>
    <row r="38" spans="1:5" ht="16.5" customHeight="1" x14ac:dyDescent="0.25">
      <c r="A38" s="40"/>
      <c r="B38" s="41"/>
      <c r="C38" s="87"/>
      <c r="D38" s="88"/>
      <c r="E38" s="89"/>
    </row>
    <row r="39" spans="1:5" ht="16.5" customHeight="1" x14ac:dyDescent="0.25">
      <c r="A39" s="40"/>
      <c r="B39" s="41"/>
      <c r="C39" s="87"/>
      <c r="D39" s="88"/>
      <c r="E39" s="89"/>
    </row>
    <row r="40" spans="1:5" ht="16.5" customHeight="1" x14ac:dyDescent="0.25">
      <c r="A40" s="40"/>
      <c r="B40" s="41"/>
      <c r="C40" s="28"/>
      <c r="D40" s="29"/>
      <c r="E40" s="30"/>
    </row>
    <row r="41" spans="1:5" ht="16.5" customHeight="1" x14ac:dyDescent="0.25">
      <c r="A41" s="40"/>
      <c r="B41" s="41"/>
      <c r="C41" s="87"/>
      <c r="D41" s="88"/>
      <c r="E41" s="89"/>
    </row>
    <row r="42" spans="1:5" ht="16.5" customHeight="1" thickBot="1" x14ac:dyDescent="0.3">
      <c r="A42" s="40"/>
      <c r="B42" s="41"/>
      <c r="C42" s="31"/>
      <c r="D42" s="32"/>
      <c r="E42" s="33"/>
    </row>
    <row r="43" spans="1:5" ht="23.25" customHeight="1" x14ac:dyDescent="0.2">
      <c r="A43" s="40"/>
      <c r="B43" s="41"/>
      <c r="C43" s="90" t="s">
        <v>23</v>
      </c>
      <c r="D43" s="91"/>
      <c r="E43" s="92"/>
    </row>
    <row r="44" spans="1:5" ht="16.5" customHeight="1" x14ac:dyDescent="0.2">
      <c r="A44" s="40"/>
      <c r="B44" s="41"/>
      <c r="C44" s="84" t="s">
        <v>24</v>
      </c>
      <c r="D44" s="85"/>
      <c r="E44" s="86"/>
    </row>
    <row r="45" spans="1:5" ht="16.5" customHeight="1" x14ac:dyDescent="0.2">
      <c r="A45" s="40"/>
      <c r="B45" s="41"/>
      <c r="C45" s="84"/>
      <c r="D45" s="85"/>
      <c r="E45" s="86"/>
    </row>
    <row r="46" spans="1:5" ht="16.5" customHeight="1" x14ac:dyDescent="0.2">
      <c r="A46" s="40"/>
      <c r="B46" s="41"/>
      <c r="C46" s="84"/>
      <c r="D46" s="85"/>
      <c r="E46" s="86"/>
    </row>
    <row r="47" spans="1:5" ht="16.5" customHeight="1" x14ac:dyDescent="0.2">
      <c r="A47" s="40"/>
      <c r="B47" s="41"/>
      <c r="C47" s="84"/>
      <c r="D47" s="85"/>
      <c r="E47" s="86"/>
    </row>
    <row r="48" spans="1:5" ht="16.5" customHeight="1" x14ac:dyDescent="0.2">
      <c r="A48" s="40"/>
      <c r="B48" s="41"/>
      <c r="C48" s="84"/>
      <c r="D48" s="85"/>
      <c r="E48" s="86"/>
    </row>
    <row r="49" spans="1:5" ht="16.5" customHeight="1" x14ac:dyDescent="0.2">
      <c r="A49" s="40"/>
      <c r="B49" s="41"/>
      <c r="C49" s="84"/>
      <c r="D49" s="85"/>
      <c r="E49" s="86"/>
    </row>
    <row r="50" spans="1:5" ht="16.5" customHeight="1" x14ac:dyDescent="0.2">
      <c r="A50" s="40"/>
      <c r="B50" s="41"/>
      <c r="C50" s="84"/>
      <c r="D50" s="85"/>
      <c r="E50" s="86"/>
    </row>
    <row r="51" spans="1:5" ht="16.5" customHeight="1" thickBot="1" x14ac:dyDescent="0.25">
      <c r="A51" s="42"/>
      <c r="B51" s="43"/>
      <c r="C51" s="84"/>
      <c r="D51" s="85"/>
      <c r="E51" s="86"/>
    </row>
    <row r="52" spans="1:5" ht="23.25" x14ac:dyDescent="0.35">
      <c r="A52" s="80" t="s">
        <v>25</v>
      </c>
      <c r="B52" s="81"/>
      <c r="C52" s="82" t="s">
        <v>26</v>
      </c>
      <c r="D52" s="83"/>
      <c r="E52" s="12">
        <f>SUM(E3:E23)</f>
        <v>74.150000000000006</v>
      </c>
    </row>
    <row r="53" spans="1:5" ht="18.75" customHeight="1" x14ac:dyDescent="0.25">
      <c r="A53" s="76" t="s">
        <v>27</v>
      </c>
      <c r="B53" s="77"/>
      <c r="C53" s="78" t="s">
        <v>28</v>
      </c>
      <c r="D53" s="79"/>
      <c r="E53" s="34">
        <v>1</v>
      </c>
    </row>
    <row r="54" spans="1:5" ht="18.75" customHeight="1" x14ac:dyDescent="0.25">
      <c r="A54" s="76" t="s">
        <v>29</v>
      </c>
      <c r="B54" s="77"/>
      <c r="C54" s="78" t="s">
        <v>30</v>
      </c>
      <c r="D54" s="79"/>
      <c r="E54" s="8">
        <f>SUM(E52/E53)</f>
        <v>74.150000000000006</v>
      </c>
    </row>
    <row r="55" spans="1:5" ht="18.75" customHeight="1" x14ac:dyDescent="0.25">
      <c r="A55" s="76" t="s">
        <v>31</v>
      </c>
      <c r="B55" s="77"/>
      <c r="C55" s="78" t="s">
        <v>32</v>
      </c>
      <c r="D55" s="79"/>
      <c r="E55" s="35">
        <v>0.04</v>
      </c>
    </row>
    <row r="56" spans="1:5" ht="18.75" customHeight="1" x14ac:dyDescent="0.25">
      <c r="A56" s="76" t="s">
        <v>33</v>
      </c>
      <c r="B56" s="77"/>
      <c r="C56" s="78" t="s">
        <v>5</v>
      </c>
      <c r="D56" s="79"/>
      <c r="E56" s="8">
        <f>(+E54*E55)+E54</f>
        <v>77.116</v>
      </c>
    </row>
    <row r="57" spans="1:5" ht="18.75" customHeight="1" x14ac:dyDescent="0.25">
      <c r="A57" s="76" t="s">
        <v>34</v>
      </c>
      <c r="B57" s="77"/>
      <c r="C57" s="78" t="s">
        <v>35</v>
      </c>
      <c r="D57" s="79"/>
      <c r="E57" s="36">
        <v>12</v>
      </c>
    </row>
    <row r="58" spans="1:5" ht="18.75" customHeight="1" thickBot="1" x14ac:dyDescent="0.3">
      <c r="A58" s="72" t="s">
        <v>36</v>
      </c>
      <c r="B58" s="73"/>
      <c r="C58" s="74" t="s">
        <v>37</v>
      </c>
      <c r="D58" s="75"/>
      <c r="E58" s="16">
        <f>SUM(E56/E57)</f>
        <v>6.426333333333333</v>
      </c>
    </row>
    <row r="59" spans="1:5" ht="19.5" customHeight="1" x14ac:dyDescent="0.2"/>
  </sheetData>
  <mergeCells count="50">
    <mergeCell ref="C58:D58"/>
    <mergeCell ref="C56:D56"/>
    <mergeCell ref="C55:D55"/>
    <mergeCell ref="C57:D57"/>
    <mergeCell ref="C46:E46"/>
    <mergeCell ref="C47:E47"/>
    <mergeCell ref="C52:D52"/>
    <mergeCell ref="A58:B58"/>
    <mergeCell ref="A52:B52"/>
    <mergeCell ref="A53:B53"/>
    <mergeCell ref="A54:B54"/>
    <mergeCell ref="A55:B55"/>
    <mergeCell ref="A56:B56"/>
    <mergeCell ref="A57:B57"/>
    <mergeCell ref="B1:E1"/>
    <mergeCell ref="C24:D24"/>
    <mergeCell ref="C25:D25"/>
    <mergeCell ref="A24:B24"/>
    <mergeCell ref="A28:B28"/>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s>
  <phoneticPr fontId="9" type="noConversion"/>
  <printOptions horizontalCentered="1" verticalCentered="1"/>
  <pageMargins left="0" right="0" top="0.25" bottom="0.25" header="0.5" footer="0.5"/>
  <pageSetup scale="67"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B901-FE27-49BA-ABED-7F381C38B5B6}">
  <sheetPr codeName="Sheet3">
    <tabColor rgb="FF0000FF"/>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101" t="s">
        <v>42</v>
      </c>
      <c r="C1" s="102"/>
      <c r="D1" s="102"/>
      <c r="E1" s="103"/>
    </row>
    <row r="2" spans="1:5" s="4" customFormat="1" ht="23.25" x14ac:dyDescent="0.35">
      <c r="A2" s="11" t="s">
        <v>1</v>
      </c>
      <c r="B2" s="2" t="s">
        <v>2</v>
      </c>
      <c r="C2" s="2" t="s">
        <v>3</v>
      </c>
      <c r="D2" s="2" t="s">
        <v>4</v>
      </c>
      <c r="E2" s="3" t="s">
        <v>5</v>
      </c>
    </row>
    <row r="3" spans="1:5" ht="19.5" customHeight="1" x14ac:dyDescent="0.25">
      <c r="A3" s="14" t="s">
        <v>43</v>
      </c>
      <c r="B3" s="15">
        <v>4</v>
      </c>
      <c r="C3" s="5" t="s">
        <v>44</v>
      </c>
      <c r="D3" s="13">
        <v>1.03</v>
      </c>
      <c r="E3" s="6">
        <v>4.12</v>
      </c>
    </row>
    <row r="4" spans="1:5" ht="19.5" customHeight="1" x14ac:dyDescent="0.25">
      <c r="A4" s="14" t="s">
        <v>45</v>
      </c>
      <c r="B4" s="15">
        <v>2</v>
      </c>
      <c r="C4" s="5" t="s">
        <v>44</v>
      </c>
      <c r="D4" s="13">
        <v>0.88</v>
      </c>
      <c r="E4" s="6">
        <v>1.76</v>
      </c>
    </row>
    <row r="5" spans="1:5" ht="19.5" customHeight="1" x14ac:dyDescent="0.25">
      <c r="A5" s="14" t="s">
        <v>46</v>
      </c>
      <c r="B5" s="15">
        <v>1</v>
      </c>
      <c r="C5" s="5" t="s">
        <v>44</v>
      </c>
      <c r="D5" s="13">
        <v>0.48</v>
      </c>
      <c r="E5" s="6">
        <v>0.48</v>
      </c>
    </row>
    <row r="6" spans="1:5" ht="19.5" customHeight="1" x14ac:dyDescent="0.25">
      <c r="A6" s="14" t="s">
        <v>47</v>
      </c>
      <c r="B6" s="15">
        <v>1</v>
      </c>
      <c r="C6" s="5" t="s">
        <v>44</v>
      </c>
      <c r="D6" s="13">
        <v>0.89</v>
      </c>
      <c r="E6" s="6">
        <v>0.89</v>
      </c>
    </row>
    <row r="7" spans="1:5" ht="19.5" customHeight="1" x14ac:dyDescent="0.25">
      <c r="A7" s="14" t="s">
        <v>48</v>
      </c>
      <c r="B7" s="15">
        <v>2</v>
      </c>
      <c r="C7" s="5" t="s">
        <v>49</v>
      </c>
      <c r="D7" s="13">
        <v>0.15</v>
      </c>
      <c r="E7" s="6">
        <v>0.3</v>
      </c>
    </row>
    <row r="8" spans="1:5" ht="19.5" customHeight="1" x14ac:dyDescent="0.25">
      <c r="A8" s="14" t="s">
        <v>50</v>
      </c>
      <c r="B8" s="15">
        <v>1</v>
      </c>
      <c r="C8" s="5" t="s">
        <v>49</v>
      </c>
      <c r="D8" s="13">
        <v>0.13</v>
      </c>
      <c r="E8" s="6">
        <v>0.13</v>
      </c>
    </row>
    <row r="9" spans="1:5" ht="19.5" customHeight="1" x14ac:dyDescent="0.25">
      <c r="A9" s="14" t="s">
        <v>51</v>
      </c>
      <c r="B9" s="15">
        <v>4</v>
      </c>
      <c r="C9" s="5" t="s">
        <v>49</v>
      </c>
      <c r="D9" s="13">
        <v>0.18</v>
      </c>
      <c r="E9" s="6">
        <v>0.72</v>
      </c>
    </row>
    <row r="10" spans="1:5" ht="19.5" customHeight="1" x14ac:dyDescent="0.25">
      <c r="A10" s="14" t="s">
        <v>52</v>
      </c>
      <c r="B10" s="15">
        <v>2</v>
      </c>
      <c r="C10" s="5" t="s">
        <v>49</v>
      </c>
      <c r="D10" s="13">
        <v>0.28000000000000003</v>
      </c>
      <c r="E10" s="6">
        <v>0.56000000000000005</v>
      </c>
    </row>
    <row r="11" spans="1:5" ht="19.5" customHeight="1" x14ac:dyDescent="0.25">
      <c r="A11" s="14" t="s">
        <v>53</v>
      </c>
      <c r="B11" s="15">
        <v>2</v>
      </c>
      <c r="C11" s="5" t="s">
        <v>49</v>
      </c>
      <c r="D11" s="13">
        <v>0.1</v>
      </c>
      <c r="E11" s="6">
        <v>0.2</v>
      </c>
    </row>
    <row r="12" spans="1:5" ht="19.5" customHeight="1" x14ac:dyDescent="0.25">
      <c r="A12" s="14" t="s">
        <v>54</v>
      </c>
      <c r="B12" s="15">
        <v>6</v>
      </c>
      <c r="C12" s="5" t="s">
        <v>49</v>
      </c>
      <c r="D12" s="13">
        <v>0.08</v>
      </c>
      <c r="E12" s="6">
        <v>0.48</v>
      </c>
    </row>
    <row r="13" spans="1:5" ht="19.5" customHeight="1" x14ac:dyDescent="0.25">
      <c r="A13" s="14" t="s">
        <v>55</v>
      </c>
      <c r="B13" s="15" t="s">
        <v>56</v>
      </c>
      <c r="C13" s="5"/>
      <c r="D13" s="20"/>
      <c r="E13" s="6"/>
    </row>
    <row r="14" spans="1:5" ht="19.5" customHeight="1" x14ac:dyDescent="0.25">
      <c r="A14" s="14"/>
      <c r="B14" s="15"/>
      <c r="C14" s="5"/>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104" t="s">
        <v>10</v>
      </c>
      <c r="B24" s="105"/>
      <c r="C24" s="106" t="s">
        <v>11</v>
      </c>
      <c r="D24" s="107"/>
      <c r="E24" s="37">
        <v>40</v>
      </c>
    </row>
    <row r="25" spans="1:5" ht="158.25" customHeight="1" x14ac:dyDescent="0.35">
      <c r="A25" s="71" t="s">
        <v>57</v>
      </c>
      <c r="B25" s="27"/>
      <c r="C25" s="108" t="s">
        <v>12</v>
      </c>
      <c r="D25" s="109"/>
      <c r="E25" s="38" t="s">
        <v>58</v>
      </c>
    </row>
    <row r="26" spans="1:5" ht="21" customHeight="1" thickBot="1" x14ac:dyDescent="0.4">
      <c r="A26" s="95"/>
      <c r="B26" s="96"/>
      <c r="C26" s="110" t="s">
        <v>14</v>
      </c>
      <c r="D26" s="111"/>
      <c r="E26" s="39" t="s">
        <v>15</v>
      </c>
    </row>
    <row r="27" spans="1:5" ht="23.25" x14ac:dyDescent="0.2">
      <c r="A27" s="93"/>
      <c r="B27" s="94"/>
      <c r="C27" s="90" t="s">
        <v>16</v>
      </c>
      <c r="D27" s="91"/>
      <c r="E27" s="92"/>
    </row>
    <row r="28" spans="1:5" ht="27.75" customHeight="1" x14ac:dyDescent="0.25">
      <c r="A28" s="95"/>
      <c r="B28" s="96"/>
      <c r="C28" s="87" t="s">
        <v>17</v>
      </c>
      <c r="D28" s="88"/>
      <c r="E28" s="89"/>
    </row>
    <row r="29" spans="1:5" ht="18" customHeight="1" x14ac:dyDescent="0.25">
      <c r="A29" s="95"/>
      <c r="B29" s="96"/>
      <c r="C29" s="87" t="s">
        <v>18</v>
      </c>
      <c r="D29" s="88"/>
      <c r="E29" s="89"/>
    </row>
    <row r="30" spans="1:5" ht="18" x14ac:dyDescent="0.25">
      <c r="A30" s="93"/>
      <c r="B30" s="94"/>
      <c r="C30" s="87" t="s">
        <v>19</v>
      </c>
      <c r="D30" s="88"/>
      <c r="E30" s="89"/>
    </row>
    <row r="31" spans="1:5" ht="17.100000000000001" customHeight="1" x14ac:dyDescent="0.25">
      <c r="A31" s="95"/>
      <c r="B31" s="96"/>
      <c r="C31" s="87" t="s">
        <v>20</v>
      </c>
      <c r="D31" s="88"/>
      <c r="E31" s="89"/>
    </row>
    <row r="32" spans="1:5" ht="17.100000000000001" customHeight="1" thickBot="1" x14ac:dyDescent="0.3">
      <c r="A32" s="97"/>
      <c r="B32" s="98"/>
      <c r="C32" s="87"/>
      <c r="D32" s="88"/>
      <c r="E32" s="89"/>
    </row>
    <row r="33" spans="1:5" ht="22.5" customHeight="1" x14ac:dyDescent="0.35">
      <c r="A33" s="99" t="s">
        <v>21</v>
      </c>
      <c r="B33" s="100"/>
      <c r="C33" s="87" t="s">
        <v>22</v>
      </c>
      <c r="D33" s="88"/>
      <c r="E33" s="89"/>
    </row>
    <row r="34" spans="1:5" ht="17.100000000000001" customHeight="1" x14ac:dyDescent="0.25">
      <c r="A34" s="40"/>
      <c r="B34" s="41"/>
      <c r="C34" s="87"/>
      <c r="D34" s="88"/>
      <c r="E34" s="89"/>
    </row>
    <row r="35" spans="1:5" ht="17.100000000000001" customHeight="1" x14ac:dyDescent="0.25">
      <c r="A35" s="40"/>
      <c r="B35" s="41"/>
      <c r="C35" s="87"/>
      <c r="D35" s="88"/>
      <c r="E35" s="89"/>
    </row>
    <row r="36" spans="1:5" ht="16.5" customHeight="1" x14ac:dyDescent="0.25">
      <c r="A36" s="40"/>
      <c r="B36" s="41"/>
      <c r="C36" s="87"/>
      <c r="D36" s="88"/>
      <c r="E36" s="89"/>
    </row>
    <row r="37" spans="1:5" ht="16.5" customHeight="1" x14ac:dyDescent="0.25">
      <c r="A37" s="40"/>
      <c r="B37" s="41"/>
      <c r="C37" s="87"/>
      <c r="D37" s="88"/>
      <c r="E37" s="89"/>
    </row>
    <row r="38" spans="1:5" ht="16.5" customHeight="1" x14ac:dyDescent="0.25">
      <c r="A38" s="40"/>
      <c r="B38" s="41"/>
      <c r="C38" s="87"/>
      <c r="D38" s="88"/>
      <c r="E38" s="89"/>
    </row>
    <row r="39" spans="1:5" ht="16.5" customHeight="1" x14ac:dyDescent="0.25">
      <c r="A39" s="40"/>
      <c r="B39" s="41"/>
      <c r="C39" s="87"/>
      <c r="D39" s="88"/>
      <c r="E39" s="89"/>
    </row>
    <row r="40" spans="1:5" ht="16.5" customHeight="1" x14ac:dyDescent="0.25">
      <c r="A40" s="40"/>
      <c r="B40" s="41"/>
      <c r="C40" s="28"/>
      <c r="D40" s="29"/>
      <c r="E40" s="30"/>
    </row>
    <row r="41" spans="1:5" ht="16.5" customHeight="1" x14ac:dyDescent="0.25">
      <c r="A41" s="40"/>
      <c r="B41" s="41"/>
      <c r="C41" s="87"/>
      <c r="D41" s="88"/>
      <c r="E41" s="89"/>
    </row>
    <row r="42" spans="1:5" ht="16.5" customHeight="1" thickBot="1" x14ac:dyDescent="0.3">
      <c r="A42" s="40"/>
      <c r="B42" s="41"/>
      <c r="C42" s="31"/>
      <c r="D42" s="32"/>
      <c r="E42" s="33"/>
    </row>
    <row r="43" spans="1:5" ht="23.25" customHeight="1" x14ac:dyDescent="0.2">
      <c r="A43" s="40"/>
      <c r="B43" s="41"/>
      <c r="C43" s="90" t="s">
        <v>23</v>
      </c>
      <c r="D43" s="91"/>
      <c r="E43" s="92"/>
    </row>
    <row r="44" spans="1:5" ht="16.5" customHeight="1" x14ac:dyDescent="0.2">
      <c r="A44" s="40"/>
      <c r="B44" s="41"/>
      <c r="C44" s="84" t="s">
        <v>24</v>
      </c>
      <c r="D44" s="85"/>
      <c r="E44" s="86"/>
    </row>
    <row r="45" spans="1:5" ht="16.5" customHeight="1" x14ac:dyDescent="0.2">
      <c r="A45" s="40"/>
      <c r="B45" s="41"/>
      <c r="C45" s="84"/>
      <c r="D45" s="85"/>
      <c r="E45" s="86"/>
    </row>
    <row r="46" spans="1:5" ht="16.5" customHeight="1" x14ac:dyDescent="0.2">
      <c r="A46" s="40"/>
      <c r="B46" s="41"/>
      <c r="C46" s="84"/>
      <c r="D46" s="85"/>
      <c r="E46" s="86"/>
    </row>
    <row r="47" spans="1:5" ht="16.5" customHeight="1" x14ac:dyDescent="0.2">
      <c r="A47" s="40"/>
      <c r="B47" s="41"/>
      <c r="C47" s="84"/>
      <c r="D47" s="85"/>
      <c r="E47" s="86"/>
    </row>
    <row r="48" spans="1:5" ht="16.5" customHeight="1" x14ac:dyDescent="0.2">
      <c r="A48" s="40"/>
      <c r="B48" s="41"/>
      <c r="C48" s="84"/>
      <c r="D48" s="85"/>
      <c r="E48" s="86"/>
    </row>
    <row r="49" spans="1:5" ht="16.5" customHeight="1" x14ac:dyDescent="0.2">
      <c r="A49" s="40"/>
      <c r="B49" s="41"/>
      <c r="C49" s="84"/>
      <c r="D49" s="85"/>
      <c r="E49" s="86"/>
    </row>
    <row r="50" spans="1:5" ht="16.5" customHeight="1" x14ac:dyDescent="0.2">
      <c r="A50" s="40"/>
      <c r="B50" s="41"/>
      <c r="C50" s="84"/>
      <c r="D50" s="85"/>
      <c r="E50" s="86"/>
    </row>
    <row r="51" spans="1:5" ht="16.5" customHeight="1" thickBot="1" x14ac:dyDescent="0.25">
      <c r="A51" s="42"/>
      <c r="B51" s="43"/>
      <c r="C51" s="84"/>
      <c r="D51" s="85"/>
      <c r="E51" s="86"/>
    </row>
    <row r="52" spans="1:5" ht="23.25" x14ac:dyDescent="0.35">
      <c r="A52" s="80" t="s">
        <v>25</v>
      </c>
      <c r="B52" s="81"/>
      <c r="C52" s="82" t="s">
        <v>26</v>
      </c>
      <c r="D52" s="83"/>
      <c r="E52" s="12">
        <f>SUM(E3:E23)</f>
        <v>9.6399999999999988</v>
      </c>
    </row>
    <row r="53" spans="1:5" ht="18.75" customHeight="1" x14ac:dyDescent="0.25">
      <c r="A53" s="76" t="s">
        <v>27</v>
      </c>
      <c r="B53" s="77"/>
      <c r="C53" s="78" t="s">
        <v>28</v>
      </c>
      <c r="D53" s="79"/>
      <c r="E53" s="34">
        <v>40</v>
      </c>
    </row>
    <row r="54" spans="1:5" ht="18.75" customHeight="1" x14ac:dyDescent="0.25">
      <c r="A54" s="76" t="s">
        <v>29</v>
      </c>
      <c r="B54" s="77"/>
      <c r="C54" s="78" t="s">
        <v>30</v>
      </c>
      <c r="D54" s="79"/>
      <c r="E54" s="8">
        <f>SUM(E52/E53)</f>
        <v>0.24099999999999996</v>
      </c>
    </row>
    <row r="55" spans="1:5" ht="18.75" customHeight="1" x14ac:dyDescent="0.25">
      <c r="A55" s="76" t="s">
        <v>31</v>
      </c>
      <c r="B55" s="77"/>
      <c r="C55" s="78" t="s">
        <v>32</v>
      </c>
      <c r="D55" s="79"/>
      <c r="E55" s="35"/>
    </row>
    <row r="56" spans="1:5" ht="18.75" customHeight="1" x14ac:dyDescent="0.25">
      <c r="A56" s="76" t="s">
        <v>33</v>
      </c>
      <c r="B56" s="77"/>
      <c r="C56" s="78" t="s">
        <v>5</v>
      </c>
      <c r="D56" s="79"/>
      <c r="E56" s="8">
        <f>(+E54*E55)+E54</f>
        <v>0.24099999999999996</v>
      </c>
    </row>
    <row r="57" spans="1:5" ht="18.75" customHeight="1" x14ac:dyDescent="0.25">
      <c r="A57" s="76" t="s">
        <v>34</v>
      </c>
      <c r="B57" s="77"/>
      <c r="C57" s="78" t="s">
        <v>35</v>
      </c>
      <c r="D57" s="79"/>
      <c r="E57" s="36"/>
    </row>
    <row r="58" spans="1:5" ht="18.75" customHeight="1" thickBot="1" x14ac:dyDescent="0.3">
      <c r="A58" s="72" t="s">
        <v>36</v>
      </c>
      <c r="B58" s="73"/>
      <c r="C58" s="74" t="s">
        <v>37</v>
      </c>
      <c r="D58" s="75"/>
      <c r="E58" s="16"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2C7C-4342-402C-A017-051361358D0D}">
  <sheetPr codeName="Sheet4">
    <tabColor rgb="FF0000FF"/>
    <pageSetUpPr fitToPage="1"/>
  </sheetPr>
  <dimension ref="A1:E59"/>
  <sheetViews>
    <sheetView zoomScale="80" zoomScaleNormal="80" workbookViewId="0"/>
  </sheetViews>
  <sheetFormatPr defaultColWidth="9.5546875" defaultRowHeight="15" x14ac:dyDescent="0.2"/>
  <cols>
    <col min="1" max="1" width="58.6640625" style="69" customWidth="1"/>
    <col min="2" max="2" width="21.77734375" style="70" customWidth="1"/>
    <col min="3" max="5" width="16.77734375" style="70" customWidth="1"/>
  </cols>
  <sheetData>
    <row r="1" spans="1:5" ht="30" x14ac:dyDescent="0.4">
      <c r="A1" s="48" t="s">
        <v>105</v>
      </c>
      <c r="B1" s="135" t="s">
        <v>59</v>
      </c>
      <c r="C1" s="135"/>
      <c r="D1" s="135"/>
      <c r="E1" s="135"/>
    </row>
    <row r="2" spans="1:5" s="50" customFormat="1" ht="23.25" x14ac:dyDescent="0.35">
      <c r="A2" s="49" t="s">
        <v>1</v>
      </c>
      <c r="B2" s="46" t="s">
        <v>2</v>
      </c>
      <c r="C2" s="46" t="s">
        <v>3</v>
      </c>
      <c r="D2" s="46" t="s">
        <v>4</v>
      </c>
      <c r="E2" s="46" t="s">
        <v>5</v>
      </c>
    </row>
    <row r="3" spans="1:5" ht="19.5" customHeight="1" x14ac:dyDescent="0.25">
      <c r="A3" s="51" t="s">
        <v>60</v>
      </c>
      <c r="B3" s="15">
        <v>12</v>
      </c>
      <c r="C3" s="52" t="s">
        <v>61</v>
      </c>
      <c r="D3" s="13">
        <v>1.5</v>
      </c>
      <c r="E3" s="6">
        <v>18</v>
      </c>
    </row>
    <row r="4" spans="1:5" ht="19.5" customHeight="1" x14ac:dyDescent="0.25">
      <c r="A4" s="51" t="s">
        <v>46</v>
      </c>
      <c r="B4" s="15">
        <v>12</v>
      </c>
      <c r="C4" s="52" t="s">
        <v>61</v>
      </c>
      <c r="D4" s="13">
        <v>0.48</v>
      </c>
      <c r="E4" s="6">
        <v>5.76</v>
      </c>
    </row>
    <row r="5" spans="1:5" ht="19.5" customHeight="1" x14ac:dyDescent="0.25">
      <c r="A5" s="51" t="s">
        <v>62</v>
      </c>
      <c r="B5" s="15">
        <v>6</v>
      </c>
      <c r="C5" s="52" t="s">
        <v>61</v>
      </c>
      <c r="D5" s="13">
        <v>0.72</v>
      </c>
      <c r="E5" s="6">
        <v>4.32</v>
      </c>
    </row>
    <row r="6" spans="1:5" ht="19.5" customHeight="1" x14ac:dyDescent="0.25">
      <c r="A6" s="51" t="s">
        <v>63</v>
      </c>
      <c r="B6" s="15">
        <v>7</v>
      </c>
      <c r="C6" s="52" t="s">
        <v>61</v>
      </c>
      <c r="D6" s="13">
        <v>1.43</v>
      </c>
      <c r="E6" s="6">
        <v>10.01</v>
      </c>
    </row>
    <row r="7" spans="1:5" ht="19.5" customHeight="1" x14ac:dyDescent="0.25">
      <c r="A7" s="51" t="s">
        <v>47</v>
      </c>
      <c r="B7" s="15">
        <v>2.5</v>
      </c>
      <c r="C7" s="52" t="s">
        <v>61</v>
      </c>
      <c r="D7" s="13">
        <v>0.88</v>
      </c>
      <c r="E7" s="6">
        <v>2.2000000000000002</v>
      </c>
    </row>
    <row r="8" spans="1:5" ht="19.5" customHeight="1" x14ac:dyDescent="0.25">
      <c r="A8" s="51" t="s">
        <v>64</v>
      </c>
      <c r="B8" s="15">
        <v>1.5</v>
      </c>
      <c r="C8" s="52" t="s">
        <v>61</v>
      </c>
      <c r="D8" s="13">
        <v>1.28</v>
      </c>
      <c r="E8" s="6">
        <v>1.92</v>
      </c>
    </row>
    <row r="9" spans="1:5" ht="19.5" customHeight="1" x14ac:dyDescent="0.25">
      <c r="A9" s="51" t="s">
        <v>65</v>
      </c>
      <c r="B9" s="15">
        <v>1.5</v>
      </c>
      <c r="C9" s="52" t="s">
        <v>61</v>
      </c>
      <c r="D9" s="13">
        <v>0.88</v>
      </c>
      <c r="E9" s="6">
        <v>1.32</v>
      </c>
    </row>
    <row r="10" spans="1:5" ht="19.5" customHeight="1" x14ac:dyDescent="0.25">
      <c r="A10" s="51" t="s">
        <v>66</v>
      </c>
      <c r="B10" s="15">
        <v>2</v>
      </c>
      <c r="C10" s="52" t="s">
        <v>49</v>
      </c>
      <c r="D10" s="13">
        <v>0.36</v>
      </c>
      <c r="E10" s="6">
        <v>0.72</v>
      </c>
    </row>
    <row r="11" spans="1:5" ht="19.5" customHeight="1" x14ac:dyDescent="0.25">
      <c r="A11" s="51" t="s">
        <v>67</v>
      </c>
      <c r="B11" s="15">
        <v>2</v>
      </c>
      <c r="C11" s="52" t="s">
        <v>49</v>
      </c>
      <c r="D11" s="13">
        <v>0.11</v>
      </c>
      <c r="E11" s="6">
        <v>0.22</v>
      </c>
    </row>
    <row r="12" spans="1:5" ht="19.5" customHeight="1" x14ac:dyDescent="0.25">
      <c r="A12" s="51" t="s">
        <v>68</v>
      </c>
      <c r="B12" s="15">
        <v>1</v>
      </c>
      <c r="C12" s="52" t="s">
        <v>49</v>
      </c>
      <c r="D12" s="13">
        <v>0.46</v>
      </c>
      <c r="E12" s="6">
        <v>0.46</v>
      </c>
    </row>
    <row r="13" spans="1:5" ht="19.5" customHeight="1" x14ac:dyDescent="0.25">
      <c r="A13" s="53" t="s">
        <v>69</v>
      </c>
      <c r="B13" s="18">
        <v>1</v>
      </c>
      <c r="C13" s="22" t="s">
        <v>49</v>
      </c>
      <c r="D13" s="20">
        <v>0.3</v>
      </c>
      <c r="E13" s="6">
        <v>0.3</v>
      </c>
    </row>
    <row r="14" spans="1:5" ht="19.5" customHeight="1" x14ac:dyDescent="0.25">
      <c r="A14" s="53" t="s">
        <v>70</v>
      </c>
      <c r="B14" s="22" t="s">
        <v>56</v>
      </c>
      <c r="C14" s="22"/>
      <c r="D14" s="20"/>
      <c r="E14" s="6"/>
    </row>
    <row r="15" spans="1:5" ht="19.5" customHeight="1" x14ac:dyDescent="0.25">
      <c r="A15" s="53"/>
      <c r="B15" s="22"/>
      <c r="C15" s="22"/>
      <c r="D15" s="20"/>
      <c r="E15" s="6"/>
    </row>
    <row r="16" spans="1:5" ht="19.5" customHeight="1" x14ac:dyDescent="0.25">
      <c r="A16" s="53"/>
      <c r="B16" s="22"/>
      <c r="C16" s="22"/>
      <c r="D16" s="20"/>
      <c r="E16" s="6"/>
    </row>
    <row r="17" spans="1:5" ht="19.5" customHeight="1" x14ac:dyDescent="0.25">
      <c r="A17" s="53"/>
      <c r="B17" s="22"/>
      <c r="C17" s="22"/>
      <c r="D17" s="20"/>
      <c r="E17" s="6"/>
    </row>
    <row r="18" spans="1:5" ht="19.5" customHeight="1" x14ac:dyDescent="0.25">
      <c r="A18" s="53"/>
      <c r="B18" s="22"/>
      <c r="C18" s="22"/>
      <c r="D18" s="20"/>
      <c r="E18" s="6"/>
    </row>
    <row r="19" spans="1:5" ht="19.5" customHeight="1" x14ac:dyDescent="0.25">
      <c r="A19" s="53"/>
      <c r="B19" s="22"/>
      <c r="C19" s="22"/>
      <c r="D19" s="20"/>
      <c r="E19" s="6"/>
    </row>
    <row r="20" spans="1:5" ht="19.5" customHeight="1" x14ac:dyDescent="0.25">
      <c r="A20" s="53"/>
      <c r="B20" s="22"/>
      <c r="C20" s="22"/>
      <c r="D20" s="20"/>
      <c r="E20" s="6"/>
    </row>
    <row r="21" spans="1:5" ht="19.5" customHeight="1" x14ac:dyDescent="0.25">
      <c r="A21" s="53"/>
      <c r="B21" s="22"/>
      <c r="C21" s="22"/>
      <c r="D21" s="20"/>
      <c r="E21" s="6"/>
    </row>
    <row r="22" spans="1:5" ht="19.5" customHeight="1" x14ac:dyDescent="0.25">
      <c r="A22" s="53"/>
      <c r="B22" s="22"/>
      <c r="C22" s="22"/>
      <c r="D22" s="20"/>
      <c r="E22" s="6"/>
    </row>
    <row r="23" spans="1:5" ht="19.5" customHeight="1" x14ac:dyDescent="0.25">
      <c r="A23" s="54"/>
      <c r="B23" s="24"/>
      <c r="C23" s="24"/>
      <c r="D23" s="26"/>
      <c r="E23" s="7"/>
    </row>
    <row r="24" spans="1:5" ht="23.25" x14ac:dyDescent="0.35">
      <c r="A24" s="136" t="s">
        <v>10</v>
      </c>
      <c r="B24" s="137"/>
      <c r="C24" s="106" t="s">
        <v>11</v>
      </c>
      <c r="D24" s="107"/>
      <c r="E24" s="37">
        <v>3</v>
      </c>
    </row>
    <row r="25" spans="1:5" ht="171.75" customHeight="1" x14ac:dyDescent="0.35">
      <c r="A25" s="55" t="s">
        <v>71</v>
      </c>
      <c r="B25" s="56"/>
      <c r="C25" s="138" t="s">
        <v>12</v>
      </c>
      <c r="D25" s="139"/>
      <c r="E25" s="57" t="s">
        <v>72</v>
      </c>
    </row>
    <row r="26" spans="1:5" ht="21" customHeight="1" x14ac:dyDescent="0.35">
      <c r="A26" s="131"/>
      <c r="B26" s="96"/>
      <c r="C26" s="140" t="s">
        <v>14</v>
      </c>
      <c r="D26" s="141"/>
      <c r="E26" s="58" t="s">
        <v>15</v>
      </c>
    </row>
    <row r="27" spans="1:5" ht="23.25" x14ac:dyDescent="0.2">
      <c r="A27" s="129"/>
      <c r="B27" s="130"/>
      <c r="C27" s="126" t="s">
        <v>16</v>
      </c>
      <c r="D27" s="127"/>
      <c r="E27" s="128"/>
    </row>
    <row r="28" spans="1:5" ht="27.75" customHeight="1" x14ac:dyDescent="0.25">
      <c r="A28" s="131"/>
      <c r="B28" s="96"/>
      <c r="C28" s="123" t="s">
        <v>17</v>
      </c>
      <c r="D28" s="124"/>
      <c r="E28" s="125"/>
    </row>
    <row r="29" spans="1:5" ht="18" customHeight="1" x14ac:dyDescent="0.25">
      <c r="A29" s="131"/>
      <c r="B29" s="96"/>
      <c r="C29" s="123" t="s">
        <v>18</v>
      </c>
      <c r="D29" s="124"/>
      <c r="E29" s="125"/>
    </row>
    <row r="30" spans="1:5" ht="18" x14ac:dyDescent="0.25">
      <c r="A30" s="129"/>
      <c r="B30" s="130"/>
      <c r="C30" s="123" t="s">
        <v>19</v>
      </c>
      <c r="D30" s="124"/>
      <c r="E30" s="125"/>
    </row>
    <row r="31" spans="1:5" ht="17.100000000000001" customHeight="1" x14ac:dyDescent="0.25">
      <c r="A31" s="131"/>
      <c r="B31" s="96"/>
      <c r="C31" s="123"/>
      <c r="D31" s="124"/>
      <c r="E31" s="125"/>
    </row>
    <row r="32" spans="1:5" ht="17.100000000000001" customHeight="1" x14ac:dyDescent="0.25">
      <c r="A32" s="132"/>
      <c r="B32" s="98"/>
      <c r="C32" s="123"/>
      <c r="D32" s="124"/>
      <c r="E32" s="125"/>
    </row>
    <row r="33" spans="1:5" ht="22.5" customHeight="1" x14ac:dyDescent="0.35">
      <c r="A33" s="133" t="s">
        <v>21</v>
      </c>
      <c r="B33" s="134"/>
      <c r="C33" s="123" t="s">
        <v>22</v>
      </c>
      <c r="D33" s="124"/>
      <c r="E33" s="125"/>
    </row>
    <row r="34" spans="1:5" ht="17.100000000000001" customHeight="1" x14ac:dyDescent="0.25">
      <c r="A34" s="62"/>
      <c r="B34" s="63"/>
      <c r="C34" s="123"/>
      <c r="D34" s="124"/>
      <c r="E34" s="125"/>
    </row>
    <row r="35" spans="1:5" ht="17.100000000000001" customHeight="1" x14ac:dyDescent="0.25">
      <c r="A35" s="47"/>
      <c r="B35" s="63"/>
      <c r="C35" s="123"/>
      <c r="D35" s="124"/>
      <c r="E35" s="125"/>
    </row>
    <row r="36" spans="1:5" ht="16.5" customHeight="1" x14ac:dyDescent="0.25">
      <c r="A36" s="47"/>
      <c r="B36" s="63"/>
      <c r="C36" s="123"/>
      <c r="D36" s="124"/>
      <c r="E36" s="125"/>
    </row>
    <row r="37" spans="1:5" ht="16.5" customHeight="1" x14ac:dyDescent="0.25">
      <c r="A37" s="47"/>
      <c r="B37" s="63"/>
      <c r="C37" s="123"/>
      <c r="D37" s="124"/>
      <c r="E37" s="125"/>
    </row>
    <row r="38" spans="1:5" ht="16.5" customHeight="1" x14ac:dyDescent="0.25">
      <c r="A38" s="47"/>
      <c r="B38" s="63"/>
      <c r="C38" s="123"/>
      <c r="D38" s="124"/>
      <c r="E38" s="125"/>
    </row>
    <row r="39" spans="1:5" ht="16.5" customHeight="1" x14ac:dyDescent="0.25">
      <c r="A39" s="47"/>
      <c r="B39" s="63"/>
      <c r="C39" s="123"/>
      <c r="D39" s="124"/>
      <c r="E39" s="125"/>
    </row>
    <row r="40" spans="1:5" ht="16.5" customHeight="1" x14ac:dyDescent="0.25">
      <c r="A40" s="62"/>
      <c r="B40" s="63"/>
      <c r="C40" s="59"/>
      <c r="D40" s="60"/>
      <c r="E40" s="61"/>
    </row>
    <row r="41" spans="1:5" ht="16.5" customHeight="1" x14ac:dyDescent="0.25">
      <c r="A41" s="62"/>
      <c r="B41" s="63"/>
      <c r="C41" s="123"/>
      <c r="D41" s="124"/>
      <c r="E41" s="125"/>
    </row>
    <row r="42" spans="1:5" ht="16.5" customHeight="1" x14ac:dyDescent="0.25">
      <c r="A42" s="62"/>
      <c r="B42" s="63"/>
      <c r="C42" s="64"/>
      <c r="D42" s="65"/>
      <c r="E42" s="66"/>
    </row>
    <row r="43" spans="1:5" ht="23.25" customHeight="1" x14ac:dyDescent="0.2">
      <c r="A43" s="62"/>
      <c r="B43" s="63"/>
      <c r="C43" s="126" t="s">
        <v>23</v>
      </c>
      <c r="D43" s="127"/>
      <c r="E43" s="128"/>
    </row>
    <row r="44" spans="1:5" ht="16.5" customHeight="1" x14ac:dyDescent="0.2">
      <c r="A44" s="62"/>
      <c r="B44" s="63"/>
      <c r="C44" s="120" t="s">
        <v>24</v>
      </c>
      <c r="D44" s="121"/>
      <c r="E44" s="122"/>
    </row>
    <row r="45" spans="1:5" ht="16.5" customHeight="1" x14ac:dyDescent="0.2">
      <c r="A45" s="62"/>
      <c r="B45" s="63"/>
      <c r="C45" s="120"/>
      <c r="D45" s="121"/>
      <c r="E45" s="122"/>
    </row>
    <row r="46" spans="1:5" ht="16.5" customHeight="1" x14ac:dyDescent="0.2">
      <c r="A46" s="62"/>
      <c r="B46" s="63"/>
      <c r="C46" s="120"/>
      <c r="D46" s="121"/>
      <c r="E46" s="122"/>
    </row>
    <row r="47" spans="1:5" ht="16.5" customHeight="1" x14ac:dyDescent="0.2">
      <c r="A47" s="62"/>
      <c r="B47" s="63"/>
      <c r="C47" s="120"/>
      <c r="D47" s="121"/>
      <c r="E47" s="122"/>
    </row>
    <row r="48" spans="1:5" ht="16.5" customHeight="1" x14ac:dyDescent="0.2">
      <c r="A48" s="62"/>
      <c r="B48" s="63"/>
      <c r="C48" s="120"/>
      <c r="D48" s="121"/>
      <c r="E48" s="122"/>
    </row>
    <row r="49" spans="1:5" ht="16.5" customHeight="1" x14ac:dyDescent="0.2">
      <c r="A49" s="62"/>
      <c r="B49" s="63"/>
      <c r="C49" s="120"/>
      <c r="D49" s="121"/>
      <c r="E49" s="122"/>
    </row>
    <row r="50" spans="1:5" ht="16.5" customHeight="1" x14ac:dyDescent="0.2">
      <c r="A50" s="62"/>
      <c r="B50" s="63"/>
      <c r="C50" s="120"/>
      <c r="D50" s="121"/>
      <c r="E50" s="122"/>
    </row>
    <row r="51" spans="1:5" ht="16.5" customHeight="1" x14ac:dyDescent="0.2">
      <c r="A51" s="67"/>
      <c r="B51" s="68"/>
      <c r="C51" s="120"/>
      <c r="D51" s="121"/>
      <c r="E51" s="122"/>
    </row>
    <row r="52" spans="1:5" ht="23.25" x14ac:dyDescent="0.35">
      <c r="A52" s="118" t="s">
        <v>25</v>
      </c>
      <c r="B52" s="119"/>
      <c r="C52" s="82" t="s">
        <v>26</v>
      </c>
      <c r="D52" s="83"/>
      <c r="E52" s="12">
        <f>SUM(E3:E23)</f>
        <v>45.23</v>
      </c>
    </row>
    <row r="53" spans="1:5" ht="18.75" customHeight="1" x14ac:dyDescent="0.25">
      <c r="A53" s="116" t="s">
        <v>27</v>
      </c>
      <c r="B53" s="117"/>
      <c r="C53" s="78" t="s">
        <v>28</v>
      </c>
      <c r="D53" s="79"/>
      <c r="E53" s="34">
        <v>384</v>
      </c>
    </row>
    <row r="54" spans="1:5" ht="18.75" customHeight="1" x14ac:dyDescent="0.25">
      <c r="A54" s="116" t="s">
        <v>29</v>
      </c>
      <c r="B54" s="117"/>
      <c r="C54" s="78" t="s">
        <v>30</v>
      </c>
      <c r="D54" s="79"/>
      <c r="E54" s="8">
        <f>SUM(E52/E53)</f>
        <v>0.11778645833333333</v>
      </c>
    </row>
    <row r="55" spans="1:5" ht="18.75" customHeight="1" x14ac:dyDescent="0.25">
      <c r="A55" s="116" t="s">
        <v>31</v>
      </c>
      <c r="B55" s="117"/>
      <c r="C55" s="78" t="s">
        <v>32</v>
      </c>
      <c r="D55" s="79"/>
      <c r="E55" s="35">
        <v>0</v>
      </c>
    </row>
    <row r="56" spans="1:5" ht="18.75" customHeight="1" x14ac:dyDescent="0.25">
      <c r="A56" s="116" t="s">
        <v>33</v>
      </c>
      <c r="B56" s="117"/>
      <c r="C56" s="78" t="s">
        <v>5</v>
      </c>
      <c r="D56" s="79"/>
      <c r="E56" s="8">
        <f>(+E54*E55)+E54</f>
        <v>0.11778645833333333</v>
      </c>
    </row>
    <row r="57" spans="1:5" ht="18.75" customHeight="1" x14ac:dyDescent="0.25">
      <c r="A57" s="116" t="s">
        <v>34</v>
      </c>
      <c r="B57" s="117"/>
      <c r="C57" s="78" t="s">
        <v>35</v>
      </c>
      <c r="D57" s="79"/>
      <c r="E57" s="36"/>
    </row>
    <row r="58" spans="1:5" ht="18.75" customHeight="1" x14ac:dyDescent="0.25">
      <c r="A58" s="112" t="s">
        <v>36</v>
      </c>
      <c r="B58" s="113"/>
      <c r="C58" s="114" t="s">
        <v>37</v>
      </c>
      <c r="D58" s="115"/>
      <c r="E58" s="16"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725A-3118-43EE-AB5F-D0EC82D9CFA9}">
  <sheetPr codeName="Sheet5">
    <tabColor rgb="FF0000FF"/>
    <pageSetUpPr fitToPage="1"/>
  </sheetPr>
  <dimension ref="A1:E59"/>
  <sheetViews>
    <sheetView zoomScale="80" zoomScaleNormal="80" workbookViewId="0"/>
  </sheetViews>
  <sheetFormatPr defaultColWidth="9.5546875" defaultRowHeight="15" x14ac:dyDescent="0.2"/>
  <cols>
    <col min="1" max="1" width="58.6640625" style="69" customWidth="1"/>
    <col min="2" max="2" width="21.77734375" style="70" customWidth="1"/>
    <col min="3" max="5" width="16.77734375" style="70" customWidth="1"/>
  </cols>
  <sheetData>
    <row r="1" spans="1:5" ht="30" x14ac:dyDescent="0.4">
      <c r="A1" s="48" t="s">
        <v>105</v>
      </c>
      <c r="B1" s="135" t="s">
        <v>73</v>
      </c>
      <c r="C1" s="135"/>
      <c r="D1" s="135"/>
      <c r="E1" s="135"/>
    </row>
    <row r="2" spans="1:5" s="50" customFormat="1" ht="23.25" x14ac:dyDescent="0.35">
      <c r="A2" s="49" t="s">
        <v>1</v>
      </c>
      <c r="B2" s="46" t="s">
        <v>2</v>
      </c>
      <c r="C2" s="46" t="s">
        <v>3</v>
      </c>
      <c r="D2" s="46" t="s">
        <v>4</v>
      </c>
      <c r="E2" s="46" t="s">
        <v>5</v>
      </c>
    </row>
    <row r="3" spans="1:5" ht="19.5" customHeight="1" x14ac:dyDescent="0.25">
      <c r="A3" s="51" t="s">
        <v>74</v>
      </c>
      <c r="B3" s="15">
        <v>14</v>
      </c>
      <c r="C3" s="52" t="s">
        <v>75</v>
      </c>
      <c r="D3" s="13">
        <v>2.2200000000000002</v>
      </c>
      <c r="E3" s="6">
        <v>32.19</v>
      </c>
    </row>
    <row r="4" spans="1:5" ht="19.5" customHeight="1" x14ac:dyDescent="0.25">
      <c r="A4" s="51" t="s">
        <v>76</v>
      </c>
      <c r="B4" s="15">
        <v>10.5</v>
      </c>
      <c r="C4" s="52" t="s">
        <v>61</v>
      </c>
      <c r="D4" s="13">
        <v>0.32</v>
      </c>
      <c r="E4" s="6">
        <v>3.36</v>
      </c>
    </row>
    <row r="5" spans="1:5" ht="19.5" customHeight="1" x14ac:dyDescent="0.25">
      <c r="A5" s="51" t="s">
        <v>47</v>
      </c>
      <c r="B5" s="15">
        <v>3.5</v>
      </c>
      <c r="C5" s="52" t="s">
        <v>61</v>
      </c>
      <c r="D5" s="13">
        <v>0.88</v>
      </c>
      <c r="E5" s="6">
        <v>3.08</v>
      </c>
    </row>
    <row r="6" spans="1:5" ht="19.5" customHeight="1" x14ac:dyDescent="0.25">
      <c r="A6" s="51" t="s">
        <v>62</v>
      </c>
      <c r="B6" s="15">
        <v>3.5</v>
      </c>
      <c r="C6" s="52" t="s">
        <v>61</v>
      </c>
      <c r="D6" s="13">
        <v>0.72</v>
      </c>
      <c r="E6" s="6">
        <v>2.52</v>
      </c>
    </row>
    <row r="7" spans="1:5" ht="19.5" customHeight="1" x14ac:dyDescent="0.25">
      <c r="A7" s="51" t="s">
        <v>77</v>
      </c>
      <c r="B7" s="15">
        <v>8</v>
      </c>
      <c r="C7" s="52" t="s">
        <v>40</v>
      </c>
      <c r="D7" s="13">
        <v>0.28999999999999998</v>
      </c>
      <c r="E7" s="6">
        <v>2.3199999999999998</v>
      </c>
    </row>
    <row r="8" spans="1:5" ht="19.5" customHeight="1" x14ac:dyDescent="0.25">
      <c r="A8" s="51" t="s">
        <v>78</v>
      </c>
      <c r="B8" s="15">
        <v>4</v>
      </c>
      <c r="C8" s="52" t="s">
        <v>49</v>
      </c>
      <c r="D8" s="13">
        <v>0.3</v>
      </c>
      <c r="E8" s="6">
        <v>1.2</v>
      </c>
    </row>
    <row r="9" spans="1:5" ht="19.5" customHeight="1" x14ac:dyDescent="0.25">
      <c r="A9" s="51" t="s">
        <v>79</v>
      </c>
      <c r="B9" s="15">
        <v>2</v>
      </c>
      <c r="C9" s="52" t="s">
        <v>49</v>
      </c>
      <c r="D9" s="13">
        <v>0.75</v>
      </c>
      <c r="E9" s="6">
        <v>1.49</v>
      </c>
    </row>
    <row r="10" spans="1:5" ht="19.5" customHeight="1" x14ac:dyDescent="0.25">
      <c r="A10" s="51" t="s">
        <v>80</v>
      </c>
      <c r="B10" s="15">
        <v>2</v>
      </c>
      <c r="C10" s="52" t="s">
        <v>49</v>
      </c>
      <c r="D10" s="13">
        <v>0.87</v>
      </c>
      <c r="E10" s="6">
        <v>1.73</v>
      </c>
    </row>
    <row r="11" spans="1:5" ht="19.5" customHeight="1" x14ac:dyDescent="0.25">
      <c r="A11" s="51" t="s">
        <v>81</v>
      </c>
      <c r="B11" s="15">
        <v>1</v>
      </c>
      <c r="C11" s="52" t="s">
        <v>49</v>
      </c>
      <c r="D11" s="13">
        <v>0.04</v>
      </c>
      <c r="E11" s="6">
        <v>0.04</v>
      </c>
    </row>
    <row r="12" spans="1:5" ht="19.5" customHeight="1" x14ac:dyDescent="0.25">
      <c r="A12" s="51"/>
      <c r="B12" s="15"/>
      <c r="C12" s="52"/>
      <c r="D12" s="13"/>
      <c r="E12" s="6"/>
    </row>
    <row r="13" spans="1:5" ht="19.5" customHeight="1" x14ac:dyDescent="0.25">
      <c r="A13" s="53"/>
      <c r="B13" s="18"/>
      <c r="C13" s="22"/>
      <c r="D13" s="20"/>
      <c r="E13" s="6"/>
    </row>
    <row r="14" spans="1:5" ht="19.5" customHeight="1" x14ac:dyDescent="0.25">
      <c r="A14" s="53"/>
      <c r="B14" s="22"/>
      <c r="C14" s="22"/>
      <c r="D14" s="20"/>
      <c r="E14" s="6"/>
    </row>
    <row r="15" spans="1:5" ht="19.5" customHeight="1" x14ac:dyDescent="0.25">
      <c r="A15" s="53"/>
      <c r="B15" s="22"/>
      <c r="C15" s="22"/>
      <c r="D15" s="20"/>
      <c r="E15" s="6"/>
    </row>
    <row r="16" spans="1:5" ht="19.5" customHeight="1" x14ac:dyDescent="0.25">
      <c r="A16" s="53"/>
      <c r="B16" s="22"/>
      <c r="C16" s="22"/>
      <c r="D16" s="20"/>
      <c r="E16" s="6"/>
    </row>
    <row r="17" spans="1:5" ht="19.5" customHeight="1" x14ac:dyDescent="0.25">
      <c r="A17" s="53"/>
      <c r="B17" s="22"/>
      <c r="C17" s="22"/>
      <c r="D17" s="20"/>
      <c r="E17" s="6"/>
    </row>
    <row r="18" spans="1:5" ht="19.5" customHeight="1" x14ac:dyDescent="0.25">
      <c r="A18" s="53"/>
      <c r="B18" s="22"/>
      <c r="C18" s="22"/>
      <c r="D18" s="20"/>
      <c r="E18" s="6"/>
    </row>
    <row r="19" spans="1:5" ht="19.5" customHeight="1" x14ac:dyDescent="0.25">
      <c r="A19" s="53"/>
      <c r="B19" s="22"/>
      <c r="C19" s="22"/>
      <c r="D19" s="20"/>
      <c r="E19" s="6"/>
    </row>
    <row r="20" spans="1:5" ht="19.5" customHeight="1" x14ac:dyDescent="0.25">
      <c r="A20" s="53"/>
      <c r="B20" s="22"/>
      <c r="C20" s="22"/>
      <c r="D20" s="20"/>
      <c r="E20" s="6"/>
    </row>
    <row r="21" spans="1:5" ht="19.5" customHeight="1" x14ac:dyDescent="0.25">
      <c r="A21" s="53"/>
      <c r="B21" s="22"/>
      <c r="C21" s="22"/>
      <c r="D21" s="20"/>
      <c r="E21" s="6"/>
    </row>
    <row r="22" spans="1:5" ht="19.5" customHeight="1" x14ac:dyDescent="0.25">
      <c r="A22" s="53"/>
      <c r="B22" s="22"/>
      <c r="C22" s="22"/>
      <c r="D22" s="20"/>
      <c r="E22" s="6"/>
    </row>
    <row r="23" spans="1:5" ht="19.5" customHeight="1" x14ac:dyDescent="0.25">
      <c r="A23" s="54"/>
      <c r="B23" s="24"/>
      <c r="C23" s="24"/>
      <c r="D23" s="26"/>
      <c r="E23" s="7"/>
    </row>
    <row r="24" spans="1:5" ht="23.25" x14ac:dyDescent="0.35">
      <c r="A24" s="136" t="s">
        <v>10</v>
      </c>
      <c r="B24" s="137"/>
      <c r="C24" s="106" t="s">
        <v>11</v>
      </c>
      <c r="D24" s="107"/>
      <c r="E24" s="37">
        <v>2</v>
      </c>
    </row>
    <row r="25" spans="1:5" ht="165.75" customHeight="1" x14ac:dyDescent="0.35">
      <c r="A25" s="55" t="s">
        <v>82</v>
      </c>
      <c r="B25" s="56"/>
      <c r="C25" s="138" t="s">
        <v>12</v>
      </c>
      <c r="D25" s="139"/>
      <c r="E25" s="57" t="s">
        <v>72</v>
      </c>
    </row>
    <row r="26" spans="1:5" ht="21" customHeight="1" x14ac:dyDescent="0.35">
      <c r="A26" s="131"/>
      <c r="B26" s="96"/>
      <c r="C26" s="140" t="s">
        <v>14</v>
      </c>
      <c r="D26" s="141"/>
      <c r="E26" s="58" t="s">
        <v>15</v>
      </c>
    </row>
    <row r="27" spans="1:5" ht="23.25" x14ac:dyDescent="0.2">
      <c r="A27" s="129"/>
      <c r="B27" s="130"/>
      <c r="C27" s="126" t="s">
        <v>16</v>
      </c>
      <c r="D27" s="127"/>
      <c r="E27" s="128"/>
    </row>
    <row r="28" spans="1:5" ht="27.75" customHeight="1" x14ac:dyDescent="0.25">
      <c r="A28" s="131"/>
      <c r="B28" s="96"/>
      <c r="C28" s="123" t="s">
        <v>17</v>
      </c>
      <c r="D28" s="124"/>
      <c r="E28" s="125"/>
    </row>
    <row r="29" spans="1:5" ht="18" customHeight="1" x14ac:dyDescent="0.25">
      <c r="A29" s="131"/>
      <c r="B29" s="96"/>
      <c r="C29" s="123" t="s">
        <v>18</v>
      </c>
      <c r="D29" s="124"/>
      <c r="E29" s="125"/>
    </row>
    <row r="30" spans="1:5" ht="18" x14ac:dyDescent="0.25">
      <c r="A30" s="129"/>
      <c r="B30" s="130"/>
      <c r="C30" s="123" t="s">
        <v>19</v>
      </c>
      <c r="D30" s="124"/>
      <c r="E30" s="125"/>
    </row>
    <row r="31" spans="1:5" ht="17.100000000000001" customHeight="1" x14ac:dyDescent="0.25">
      <c r="A31" s="131"/>
      <c r="B31" s="96"/>
      <c r="C31" s="123"/>
      <c r="D31" s="124"/>
      <c r="E31" s="125"/>
    </row>
    <row r="32" spans="1:5" ht="17.100000000000001" customHeight="1" x14ac:dyDescent="0.25">
      <c r="A32" s="132"/>
      <c r="B32" s="98"/>
      <c r="C32" s="123"/>
      <c r="D32" s="124"/>
      <c r="E32" s="125"/>
    </row>
    <row r="33" spans="1:5" ht="22.5" customHeight="1" x14ac:dyDescent="0.35">
      <c r="A33" s="133" t="s">
        <v>21</v>
      </c>
      <c r="B33" s="134"/>
      <c r="C33" s="123" t="s">
        <v>22</v>
      </c>
      <c r="D33" s="124"/>
      <c r="E33" s="125"/>
    </row>
    <row r="34" spans="1:5" ht="17.100000000000001" customHeight="1" x14ac:dyDescent="0.25">
      <c r="A34" s="62"/>
      <c r="B34" s="63"/>
      <c r="C34" s="123"/>
      <c r="D34" s="124"/>
      <c r="E34" s="125"/>
    </row>
    <row r="35" spans="1:5" ht="17.100000000000001" customHeight="1" x14ac:dyDescent="0.25">
      <c r="A35" s="47"/>
      <c r="B35" s="63"/>
      <c r="C35" s="123"/>
      <c r="D35" s="124"/>
      <c r="E35" s="125"/>
    </row>
    <row r="36" spans="1:5" ht="16.5" customHeight="1" x14ac:dyDescent="0.25">
      <c r="A36" s="47"/>
      <c r="B36" s="63"/>
      <c r="C36" s="123"/>
      <c r="D36" s="124"/>
      <c r="E36" s="125"/>
    </row>
    <row r="37" spans="1:5" ht="16.5" customHeight="1" x14ac:dyDescent="0.25">
      <c r="A37" s="47"/>
      <c r="B37" s="63"/>
      <c r="C37" s="123"/>
      <c r="D37" s="124"/>
      <c r="E37" s="125"/>
    </row>
    <row r="38" spans="1:5" ht="16.5" customHeight="1" x14ac:dyDescent="0.25">
      <c r="A38" s="47"/>
      <c r="B38" s="63"/>
      <c r="C38" s="123"/>
      <c r="D38" s="124"/>
      <c r="E38" s="125"/>
    </row>
    <row r="39" spans="1:5" ht="16.5" customHeight="1" x14ac:dyDescent="0.25">
      <c r="A39" s="47"/>
      <c r="B39" s="63"/>
      <c r="C39" s="123"/>
      <c r="D39" s="124"/>
      <c r="E39" s="125"/>
    </row>
    <row r="40" spans="1:5" ht="16.5" customHeight="1" x14ac:dyDescent="0.25">
      <c r="A40" s="62"/>
      <c r="B40" s="63"/>
      <c r="C40" s="59"/>
      <c r="D40" s="60"/>
      <c r="E40" s="61"/>
    </row>
    <row r="41" spans="1:5" ht="16.5" customHeight="1" x14ac:dyDescent="0.25">
      <c r="A41" s="62"/>
      <c r="B41" s="63"/>
      <c r="C41" s="123"/>
      <c r="D41" s="124"/>
      <c r="E41" s="125"/>
    </row>
    <row r="42" spans="1:5" ht="16.5" customHeight="1" x14ac:dyDescent="0.25">
      <c r="A42" s="62"/>
      <c r="B42" s="63"/>
      <c r="C42" s="64"/>
      <c r="D42" s="65"/>
      <c r="E42" s="66"/>
    </row>
    <row r="43" spans="1:5" ht="23.25" customHeight="1" x14ac:dyDescent="0.2">
      <c r="A43" s="62"/>
      <c r="B43" s="63"/>
      <c r="C43" s="126" t="s">
        <v>23</v>
      </c>
      <c r="D43" s="127"/>
      <c r="E43" s="128"/>
    </row>
    <row r="44" spans="1:5" ht="16.5" customHeight="1" x14ac:dyDescent="0.2">
      <c r="A44" s="62"/>
      <c r="B44" s="63"/>
      <c r="C44" s="120" t="s">
        <v>24</v>
      </c>
      <c r="D44" s="121"/>
      <c r="E44" s="122"/>
    </row>
    <row r="45" spans="1:5" ht="16.5" customHeight="1" x14ac:dyDescent="0.2">
      <c r="A45" s="62"/>
      <c r="B45" s="63"/>
      <c r="C45" s="120"/>
      <c r="D45" s="121"/>
      <c r="E45" s="122"/>
    </row>
    <row r="46" spans="1:5" ht="16.5" customHeight="1" x14ac:dyDescent="0.2">
      <c r="A46" s="62"/>
      <c r="B46" s="63"/>
      <c r="C46" s="120"/>
      <c r="D46" s="121"/>
      <c r="E46" s="122"/>
    </row>
    <row r="47" spans="1:5" ht="16.5" customHeight="1" x14ac:dyDescent="0.2">
      <c r="A47" s="62"/>
      <c r="B47" s="63"/>
      <c r="C47" s="120"/>
      <c r="D47" s="121"/>
      <c r="E47" s="122"/>
    </row>
    <row r="48" spans="1:5" ht="16.5" customHeight="1" x14ac:dyDescent="0.2">
      <c r="A48" s="62"/>
      <c r="B48" s="63"/>
      <c r="C48" s="120"/>
      <c r="D48" s="121"/>
      <c r="E48" s="122"/>
    </row>
    <row r="49" spans="1:5" ht="16.5" customHeight="1" x14ac:dyDescent="0.2">
      <c r="A49" s="62"/>
      <c r="B49" s="63"/>
      <c r="C49" s="120"/>
      <c r="D49" s="121"/>
      <c r="E49" s="122"/>
    </row>
    <row r="50" spans="1:5" ht="16.5" customHeight="1" x14ac:dyDescent="0.2">
      <c r="A50" s="62"/>
      <c r="B50" s="63"/>
      <c r="C50" s="120"/>
      <c r="D50" s="121"/>
      <c r="E50" s="122"/>
    </row>
    <row r="51" spans="1:5" ht="16.5" customHeight="1" x14ac:dyDescent="0.2">
      <c r="A51" s="67"/>
      <c r="B51" s="68"/>
      <c r="C51" s="120"/>
      <c r="D51" s="121"/>
      <c r="E51" s="122"/>
    </row>
    <row r="52" spans="1:5" ht="23.25" x14ac:dyDescent="0.35">
      <c r="A52" s="118" t="s">
        <v>25</v>
      </c>
      <c r="B52" s="119"/>
      <c r="C52" s="82" t="s">
        <v>26</v>
      </c>
      <c r="D52" s="83"/>
      <c r="E52" s="12">
        <f>SUM(E3:E23)</f>
        <v>47.93</v>
      </c>
    </row>
    <row r="53" spans="1:5" ht="18.75" customHeight="1" x14ac:dyDescent="0.25">
      <c r="A53" s="116" t="s">
        <v>27</v>
      </c>
      <c r="B53" s="117"/>
      <c r="C53" s="78" t="s">
        <v>28</v>
      </c>
      <c r="D53" s="79"/>
      <c r="E53" s="34">
        <v>32</v>
      </c>
    </row>
    <row r="54" spans="1:5" ht="18.75" customHeight="1" x14ac:dyDescent="0.25">
      <c r="A54" s="116" t="s">
        <v>29</v>
      </c>
      <c r="B54" s="117"/>
      <c r="C54" s="78" t="s">
        <v>30</v>
      </c>
      <c r="D54" s="79"/>
      <c r="E54" s="8">
        <f>SUM(E52/E53)</f>
        <v>1.4978125</v>
      </c>
    </row>
    <row r="55" spans="1:5" ht="18.75" customHeight="1" x14ac:dyDescent="0.25">
      <c r="A55" s="116" t="s">
        <v>31</v>
      </c>
      <c r="B55" s="117"/>
      <c r="C55" s="78" t="s">
        <v>32</v>
      </c>
      <c r="D55" s="79"/>
      <c r="E55" s="35"/>
    </row>
    <row r="56" spans="1:5" ht="18.75" customHeight="1" x14ac:dyDescent="0.25">
      <c r="A56" s="116" t="s">
        <v>33</v>
      </c>
      <c r="B56" s="117"/>
      <c r="C56" s="78" t="s">
        <v>5</v>
      </c>
      <c r="D56" s="79"/>
      <c r="E56" s="8">
        <f>(+E54*E55)+E54</f>
        <v>1.4978125</v>
      </c>
    </row>
    <row r="57" spans="1:5" ht="18.75" customHeight="1" x14ac:dyDescent="0.25">
      <c r="A57" s="116" t="s">
        <v>34</v>
      </c>
      <c r="B57" s="117"/>
      <c r="C57" s="78" t="s">
        <v>35</v>
      </c>
      <c r="D57" s="79"/>
      <c r="E57" s="36"/>
    </row>
    <row r="58" spans="1:5" ht="18.75" customHeight="1" x14ac:dyDescent="0.25">
      <c r="A58" s="112" t="s">
        <v>36</v>
      </c>
      <c r="B58" s="113"/>
      <c r="C58" s="114" t="s">
        <v>37</v>
      </c>
      <c r="D58" s="115"/>
      <c r="E58" s="16"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1865C-32EE-4857-9E87-F257CB67E4F7}">
  <sheetPr codeName="Sheet6">
    <tabColor rgb="FF0000FF"/>
    <pageSetUpPr fitToPage="1"/>
  </sheetPr>
  <dimension ref="A1:E59"/>
  <sheetViews>
    <sheetView zoomScale="75" zoomScaleNormal="75" workbookViewId="0">
      <selection activeCell="H4" sqref="H4"/>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101" t="s">
        <v>83</v>
      </c>
      <c r="C1" s="102"/>
      <c r="D1" s="102"/>
      <c r="E1" s="103"/>
    </row>
    <row r="2" spans="1:5" s="4" customFormat="1" ht="23.25" x14ac:dyDescent="0.35">
      <c r="A2" s="11" t="s">
        <v>1</v>
      </c>
      <c r="B2" s="2" t="s">
        <v>2</v>
      </c>
      <c r="C2" s="2" t="s">
        <v>3</v>
      </c>
      <c r="D2" s="2" t="s">
        <v>4</v>
      </c>
      <c r="E2" s="3" t="s">
        <v>5</v>
      </c>
    </row>
    <row r="3" spans="1:5" ht="19.5" customHeight="1" x14ac:dyDescent="0.25">
      <c r="A3" s="14" t="s">
        <v>84</v>
      </c>
      <c r="B3" s="15">
        <v>1</v>
      </c>
      <c r="C3" s="5" t="s">
        <v>85</v>
      </c>
      <c r="D3" s="13"/>
      <c r="E3" s="6"/>
    </row>
    <row r="4" spans="1:5" ht="19.5" customHeight="1" x14ac:dyDescent="0.25">
      <c r="A4" s="14" t="s">
        <v>86</v>
      </c>
      <c r="B4" s="15">
        <v>4</v>
      </c>
      <c r="C4" s="5" t="s">
        <v>87</v>
      </c>
      <c r="D4" s="13"/>
      <c r="E4" s="6"/>
    </row>
    <row r="5" spans="1:5" ht="19.5" customHeight="1" x14ac:dyDescent="0.25">
      <c r="A5" s="14" t="s">
        <v>62</v>
      </c>
      <c r="B5" s="15">
        <v>1</v>
      </c>
      <c r="C5" s="5" t="s">
        <v>44</v>
      </c>
      <c r="D5" s="13"/>
      <c r="E5" s="6"/>
    </row>
    <row r="6" spans="1:5" ht="19.5" customHeight="1" x14ac:dyDescent="0.25">
      <c r="A6" s="14"/>
      <c r="B6" s="15"/>
      <c r="C6" s="5"/>
      <c r="D6" s="13"/>
      <c r="E6" s="6"/>
    </row>
    <row r="7" spans="1:5" ht="19.5" customHeight="1" x14ac:dyDescent="0.25">
      <c r="A7" s="14"/>
      <c r="B7" s="15"/>
      <c r="C7" s="5"/>
      <c r="D7" s="13"/>
      <c r="E7" s="6"/>
    </row>
    <row r="8" spans="1:5" ht="19.5" customHeight="1" x14ac:dyDescent="0.25">
      <c r="A8" s="14"/>
      <c r="B8" s="15"/>
      <c r="C8" s="5"/>
      <c r="D8" s="13"/>
      <c r="E8" s="6"/>
    </row>
    <row r="9" spans="1:5" ht="19.5" customHeight="1" x14ac:dyDescent="0.25">
      <c r="A9" s="14"/>
      <c r="B9" s="15"/>
      <c r="C9" s="5"/>
      <c r="D9" s="13"/>
      <c r="E9" s="6"/>
    </row>
    <row r="10" spans="1:5" ht="19.5" customHeight="1" x14ac:dyDescent="0.25">
      <c r="A10" s="14"/>
      <c r="B10" s="15"/>
      <c r="C10" s="5"/>
      <c r="D10" s="13"/>
      <c r="E10" s="6"/>
    </row>
    <row r="11" spans="1:5" ht="19.5" customHeight="1" x14ac:dyDescent="0.25">
      <c r="A11" s="14"/>
      <c r="B11" s="15"/>
      <c r="C11" s="5"/>
      <c r="D11" s="13"/>
      <c r="E11" s="6"/>
    </row>
    <row r="12" spans="1:5" ht="19.5" customHeight="1" x14ac:dyDescent="0.25">
      <c r="A12" s="14"/>
      <c r="B12" s="15"/>
      <c r="C12" s="5"/>
      <c r="D12" s="13"/>
      <c r="E12" s="6"/>
    </row>
    <row r="13" spans="1:5" ht="19.5" customHeight="1" x14ac:dyDescent="0.25">
      <c r="A13" s="14"/>
      <c r="B13" s="15"/>
      <c r="C13" s="5"/>
      <c r="D13" s="20"/>
      <c r="E13" s="6"/>
    </row>
    <row r="14" spans="1:5" ht="19.5" customHeight="1" x14ac:dyDescent="0.25">
      <c r="A14" s="14"/>
      <c r="B14" s="15"/>
      <c r="C14" s="5"/>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104" t="s">
        <v>10</v>
      </c>
      <c r="B24" s="105"/>
      <c r="C24" s="106" t="s">
        <v>11</v>
      </c>
      <c r="D24" s="107"/>
      <c r="E24" s="37"/>
    </row>
    <row r="25" spans="1:5" ht="26.25" customHeight="1" x14ac:dyDescent="0.35">
      <c r="A25" s="71" t="s">
        <v>88</v>
      </c>
      <c r="B25" s="27"/>
      <c r="C25" s="108" t="s">
        <v>12</v>
      </c>
      <c r="D25" s="109"/>
      <c r="E25" s="38"/>
    </row>
    <row r="26" spans="1:5" ht="21" customHeight="1" thickBot="1" x14ac:dyDescent="0.4">
      <c r="A26" s="95"/>
      <c r="B26" s="96"/>
      <c r="C26" s="110" t="s">
        <v>14</v>
      </c>
      <c r="D26" s="111"/>
      <c r="E26" s="39" t="s">
        <v>89</v>
      </c>
    </row>
    <row r="27" spans="1:5" ht="23.25" x14ac:dyDescent="0.2">
      <c r="A27" s="93"/>
      <c r="B27" s="94"/>
      <c r="C27" s="90" t="s">
        <v>16</v>
      </c>
      <c r="D27" s="91"/>
      <c r="E27" s="92"/>
    </row>
    <row r="28" spans="1:5" ht="27.75" customHeight="1" x14ac:dyDescent="0.25">
      <c r="A28" s="95"/>
      <c r="B28" s="96"/>
      <c r="C28" s="87" t="s">
        <v>17</v>
      </c>
      <c r="D28" s="88"/>
      <c r="E28" s="89"/>
    </row>
    <row r="29" spans="1:5" ht="18" customHeight="1" x14ac:dyDescent="0.25">
      <c r="A29" s="95"/>
      <c r="B29" s="96"/>
      <c r="C29" s="87" t="s">
        <v>18</v>
      </c>
      <c r="D29" s="88"/>
      <c r="E29" s="89"/>
    </row>
    <row r="30" spans="1:5" ht="18" x14ac:dyDescent="0.25">
      <c r="A30" s="93"/>
      <c r="B30" s="94"/>
      <c r="C30" s="87" t="s">
        <v>19</v>
      </c>
      <c r="D30" s="88"/>
      <c r="E30" s="89"/>
    </row>
    <row r="31" spans="1:5" ht="17.100000000000001" customHeight="1" x14ac:dyDescent="0.25">
      <c r="A31" s="95"/>
      <c r="B31" s="96"/>
      <c r="C31" s="87" t="s">
        <v>20</v>
      </c>
      <c r="D31" s="88"/>
      <c r="E31" s="89"/>
    </row>
    <row r="32" spans="1:5" ht="17.100000000000001" customHeight="1" thickBot="1" x14ac:dyDescent="0.3">
      <c r="A32" s="97"/>
      <c r="B32" s="98"/>
      <c r="C32" s="87"/>
      <c r="D32" s="88"/>
      <c r="E32" s="89"/>
    </row>
    <row r="33" spans="1:5" ht="22.5" customHeight="1" x14ac:dyDescent="0.35">
      <c r="A33" s="99" t="s">
        <v>21</v>
      </c>
      <c r="B33" s="100"/>
      <c r="C33" s="87" t="s">
        <v>22</v>
      </c>
      <c r="D33" s="88"/>
      <c r="E33" s="89"/>
    </row>
    <row r="34" spans="1:5" ht="17.100000000000001" customHeight="1" x14ac:dyDescent="0.25">
      <c r="A34" s="40"/>
      <c r="B34" s="41"/>
      <c r="C34" s="87"/>
      <c r="D34" s="88"/>
      <c r="E34" s="89"/>
    </row>
    <row r="35" spans="1:5" ht="17.100000000000001" customHeight="1" x14ac:dyDescent="0.25">
      <c r="A35" s="40"/>
      <c r="B35" s="41"/>
      <c r="C35" s="87"/>
      <c r="D35" s="88"/>
      <c r="E35" s="89"/>
    </row>
    <row r="36" spans="1:5" ht="16.5" customHeight="1" x14ac:dyDescent="0.25">
      <c r="A36" s="40"/>
      <c r="B36" s="41"/>
      <c r="C36" s="87"/>
      <c r="D36" s="88"/>
      <c r="E36" s="89"/>
    </row>
    <row r="37" spans="1:5" ht="16.5" customHeight="1" x14ac:dyDescent="0.25">
      <c r="A37" s="40"/>
      <c r="B37" s="41"/>
      <c r="C37" s="87"/>
      <c r="D37" s="88"/>
      <c r="E37" s="89"/>
    </row>
    <row r="38" spans="1:5" ht="16.5" customHeight="1" x14ac:dyDescent="0.25">
      <c r="A38" s="40"/>
      <c r="B38" s="41"/>
      <c r="C38" s="87"/>
      <c r="D38" s="88"/>
      <c r="E38" s="89"/>
    </row>
    <row r="39" spans="1:5" ht="16.5" customHeight="1" x14ac:dyDescent="0.25">
      <c r="A39" s="40"/>
      <c r="B39" s="41"/>
      <c r="C39" s="87"/>
      <c r="D39" s="88"/>
      <c r="E39" s="89"/>
    </row>
    <row r="40" spans="1:5" ht="16.5" customHeight="1" x14ac:dyDescent="0.25">
      <c r="A40" s="40"/>
      <c r="B40" s="41"/>
      <c r="C40" s="28"/>
      <c r="D40" s="29"/>
      <c r="E40" s="30"/>
    </row>
    <row r="41" spans="1:5" ht="16.5" customHeight="1" x14ac:dyDescent="0.25">
      <c r="A41" s="40"/>
      <c r="B41" s="41"/>
      <c r="C41" s="87"/>
      <c r="D41" s="88"/>
      <c r="E41" s="89"/>
    </row>
    <row r="42" spans="1:5" ht="16.5" customHeight="1" thickBot="1" x14ac:dyDescent="0.3">
      <c r="A42" s="40"/>
      <c r="B42" s="41"/>
      <c r="C42" s="31"/>
      <c r="D42" s="32"/>
      <c r="E42" s="33"/>
    </row>
    <row r="43" spans="1:5" ht="23.25" customHeight="1" x14ac:dyDescent="0.2">
      <c r="A43" s="40"/>
      <c r="B43" s="41"/>
      <c r="C43" s="90" t="s">
        <v>23</v>
      </c>
      <c r="D43" s="91"/>
      <c r="E43" s="92"/>
    </row>
    <row r="44" spans="1:5" ht="16.5" customHeight="1" x14ac:dyDescent="0.2">
      <c r="A44" s="40"/>
      <c r="B44" s="41"/>
      <c r="C44" s="84" t="s">
        <v>24</v>
      </c>
      <c r="D44" s="85"/>
      <c r="E44" s="86"/>
    </row>
    <row r="45" spans="1:5" ht="16.5" customHeight="1" x14ac:dyDescent="0.2">
      <c r="A45" s="40"/>
      <c r="B45" s="41"/>
      <c r="C45" s="84"/>
      <c r="D45" s="85"/>
      <c r="E45" s="86"/>
    </row>
    <row r="46" spans="1:5" ht="16.5" customHeight="1" x14ac:dyDescent="0.2">
      <c r="A46" s="40"/>
      <c r="B46" s="41"/>
      <c r="C46" s="84"/>
      <c r="D46" s="85"/>
      <c r="E46" s="86"/>
    </row>
    <row r="47" spans="1:5" ht="16.5" customHeight="1" x14ac:dyDescent="0.2">
      <c r="A47" s="40"/>
      <c r="B47" s="41"/>
      <c r="C47" s="84"/>
      <c r="D47" s="85"/>
      <c r="E47" s="86"/>
    </row>
    <row r="48" spans="1:5" ht="16.5" customHeight="1" x14ac:dyDescent="0.2">
      <c r="A48" s="40"/>
      <c r="B48" s="41"/>
      <c r="C48" s="84"/>
      <c r="D48" s="85"/>
      <c r="E48" s="86"/>
    </row>
    <row r="49" spans="1:5" ht="16.5" customHeight="1" x14ac:dyDescent="0.2">
      <c r="A49" s="40"/>
      <c r="B49" s="41"/>
      <c r="C49" s="84"/>
      <c r="D49" s="85"/>
      <c r="E49" s="86"/>
    </row>
    <row r="50" spans="1:5" ht="16.5" customHeight="1" x14ac:dyDescent="0.2">
      <c r="A50" s="40"/>
      <c r="B50" s="41"/>
      <c r="C50" s="84"/>
      <c r="D50" s="85"/>
      <c r="E50" s="86"/>
    </row>
    <row r="51" spans="1:5" ht="16.5" customHeight="1" thickBot="1" x14ac:dyDescent="0.25">
      <c r="A51" s="42"/>
      <c r="B51" s="43"/>
      <c r="C51" s="84"/>
      <c r="D51" s="85"/>
      <c r="E51" s="86"/>
    </row>
    <row r="52" spans="1:5" ht="23.25" x14ac:dyDescent="0.35">
      <c r="A52" s="80" t="s">
        <v>25</v>
      </c>
      <c r="B52" s="81"/>
      <c r="C52" s="82" t="s">
        <v>26</v>
      </c>
      <c r="D52" s="83"/>
      <c r="E52" s="12">
        <f>SUM(E3:E23)</f>
        <v>0</v>
      </c>
    </row>
    <row r="53" spans="1:5" ht="18.75" customHeight="1" x14ac:dyDescent="0.25">
      <c r="A53" s="76" t="s">
        <v>27</v>
      </c>
      <c r="B53" s="77"/>
      <c r="C53" s="78" t="s">
        <v>28</v>
      </c>
      <c r="D53" s="79"/>
      <c r="E53" s="34">
        <v>40</v>
      </c>
    </row>
    <row r="54" spans="1:5" ht="18.75" customHeight="1" x14ac:dyDescent="0.25">
      <c r="A54" s="76" t="s">
        <v>29</v>
      </c>
      <c r="B54" s="77"/>
      <c r="C54" s="78" t="s">
        <v>30</v>
      </c>
      <c r="D54" s="79"/>
      <c r="E54" s="8">
        <f>SUM(E52/E53)</f>
        <v>0</v>
      </c>
    </row>
    <row r="55" spans="1:5" ht="18.75" customHeight="1" x14ac:dyDescent="0.25">
      <c r="A55" s="76" t="s">
        <v>31</v>
      </c>
      <c r="B55" s="77"/>
      <c r="C55" s="78" t="s">
        <v>32</v>
      </c>
      <c r="D55" s="79"/>
      <c r="E55" s="35">
        <v>0.04</v>
      </c>
    </row>
    <row r="56" spans="1:5" ht="18.75" customHeight="1" x14ac:dyDescent="0.25">
      <c r="A56" s="76" t="s">
        <v>33</v>
      </c>
      <c r="B56" s="77"/>
      <c r="C56" s="78" t="s">
        <v>5</v>
      </c>
      <c r="D56" s="79"/>
      <c r="E56" s="8">
        <f>(+E54*E55)+E54</f>
        <v>0</v>
      </c>
    </row>
    <row r="57" spans="1:5" ht="18.75" customHeight="1" x14ac:dyDescent="0.25">
      <c r="A57" s="76" t="s">
        <v>34</v>
      </c>
      <c r="B57" s="77"/>
      <c r="C57" s="78" t="s">
        <v>35</v>
      </c>
      <c r="D57" s="79"/>
      <c r="E57" s="36"/>
    </row>
    <row r="58" spans="1:5" ht="18.75" customHeight="1" thickBot="1" x14ac:dyDescent="0.3">
      <c r="A58" s="72" t="s">
        <v>36</v>
      </c>
      <c r="B58" s="73"/>
      <c r="C58" s="74" t="s">
        <v>37</v>
      </c>
      <c r="D58" s="75"/>
      <c r="E58" s="16"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420C-C058-4552-B9DC-AD5797E0E4CC}">
  <sheetPr codeName="Sheet7">
    <tabColor rgb="FF0000FF"/>
    <pageSetUpPr fitToPage="1"/>
  </sheetPr>
  <dimension ref="A1:E59"/>
  <sheetViews>
    <sheetView topLeftCell="A25" zoomScale="75" zoomScaleNormal="75" workbookViewId="0">
      <selection activeCell="H53" sqref="H53"/>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101" t="s">
        <v>90</v>
      </c>
      <c r="C1" s="102"/>
      <c r="D1" s="102"/>
      <c r="E1" s="103"/>
    </row>
    <row r="2" spans="1:5" s="4" customFormat="1" ht="23.25" x14ac:dyDescent="0.35">
      <c r="A2" s="11" t="s">
        <v>1</v>
      </c>
      <c r="B2" s="2" t="s">
        <v>2</v>
      </c>
      <c r="C2" s="2" t="s">
        <v>3</v>
      </c>
      <c r="D2" s="2" t="s">
        <v>4</v>
      </c>
      <c r="E2" s="3" t="s">
        <v>5</v>
      </c>
    </row>
    <row r="3" spans="1:5" ht="19.5" customHeight="1" x14ac:dyDescent="0.25">
      <c r="A3" s="14" t="s">
        <v>45</v>
      </c>
      <c r="B3" s="15">
        <v>1.5</v>
      </c>
      <c r="C3" s="5" t="s">
        <v>44</v>
      </c>
      <c r="D3" s="13"/>
      <c r="E3" s="6"/>
    </row>
    <row r="4" spans="1:5" ht="19.5" customHeight="1" x14ac:dyDescent="0.25">
      <c r="A4" s="14" t="s">
        <v>47</v>
      </c>
      <c r="B4" s="15">
        <v>0.75</v>
      </c>
      <c r="C4" s="5" t="s">
        <v>44</v>
      </c>
      <c r="D4" s="13"/>
      <c r="E4" s="6"/>
    </row>
    <row r="5" spans="1:5" ht="19.5" customHeight="1" x14ac:dyDescent="0.25">
      <c r="A5" s="14" t="s">
        <v>91</v>
      </c>
      <c r="B5" s="15">
        <v>4.5</v>
      </c>
      <c r="C5" s="5" t="s">
        <v>92</v>
      </c>
      <c r="D5" s="13"/>
      <c r="E5" s="6"/>
    </row>
    <row r="6" spans="1:5" ht="19.5" customHeight="1" x14ac:dyDescent="0.25">
      <c r="A6" s="14" t="s">
        <v>93</v>
      </c>
      <c r="B6" s="15">
        <v>3</v>
      </c>
      <c r="C6" s="5" t="s">
        <v>92</v>
      </c>
      <c r="D6" s="13"/>
      <c r="E6" s="6"/>
    </row>
    <row r="7" spans="1:5" ht="19.5" customHeight="1" x14ac:dyDescent="0.25">
      <c r="A7" s="14" t="s">
        <v>84</v>
      </c>
      <c r="B7" s="15">
        <v>3</v>
      </c>
      <c r="C7" s="5" t="s">
        <v>87</v>
      </c>
      <c r="D7" s="13"/>
      <c r="E7" s="6"/>
    </row>
    <row r="8" spans="1:5" ht="19.5" customHeight="1" x14ac:dyDescent="0.25">
      <c r="A8" s="14" t="s">
        <v>52</v>
      </c>
      <c r="B8" s="15">
        <v>3</v>
      </c>
      <c r="C8" s="5" t="s">
        <v>92</v>
      </c>
      <c r="D8" s="13"/>
      <c r="E8" s="6"/>
    </row>
    <row r="9" spans="1:5" ht="19.5" customHeight="1" x14ac:dyDescent="0.25">
      <c r="A9" s="14" t="s">
        <v>94</v>
      </c>
      <c r="B9" s="15">
        <v>0.5</v>
      </c>
      <c r="C9" s="5" t="s">
        <v>44</v>
      </c>
      <c r="D9" s="13"/>
      <c r="E9" s="6"/>
    </row>
    <row r="10" spans="1:5" ht="19.5" customHeight="1" x14ac:dyDescent="0.25">
      <c r="A10" s="14" t="s">
        <v>95</v>
      </c>
      <c r="B10" s="15">
        <v>0.75</v>
      </c>
      <c r="C10" s="5" t="s">
        <v>44</v>
      </c>
      <c r="D10" s="13"/>
      <c r="E10" s="6"/>
    </row>
    <row r="11" spans="1:5" ht="19.5" customHeight="1" x14ac:dyDescent="0.25">
      <c r="A11" s="14" t="s">
        <v>43</v>
      </c>
      <c r="B11" s="15">
        <v>4</v>
      </c>
      <c r="C11" s="5" t="s">
        <v>44</v>
      </c>
      <c r="D11" s="13"/>
      <c r="E11" s="6"/>
    </row>
    <row r="12" spans="1:5" ht="19.5" customHeight="1" x14ac:dyDescent="0.25">
      <c r="A12" s="14"/>
      <c r="B12" s="15"/>
      <c r="C12" s="5"/>
      <c r="D12" s="13"/>
      <c r="E12" s="6"/>
    </row>
    <row r="13" spans="1:5" ht="19.5" customHeight="1" x14ac:dyDescent="0.25">
      <c r="A13" s="14"/>
      <c r="B13" s="15"/>
      <c r="C13" s="5"/>
      <c r="D13" s="20"/>
      <c r="E13" s="6"/>
    </row>
    <row r="14" spans="1:5" ht="19.5" customHeight="1" x14ac:dyDescent="0.25">
      <c r="A14" s="14"/>
      <c r="B14" s="15"/>
      <c r="C14" s="5"/>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104" t="s">
        <v>10</v>
      </c>
      <c r="B24" s="105"/>
      <c r="C24" s="106" t="s">
        <v>11</v>
      </c>
      <c r="D24" s="107"/>
      <c r="E24" s="37"/>
    </row>
    <row r="25" spans="1:5" ht="162" customHeight="1" x14ac:dyDescent="0.35">
      <c r="A25" s="71" t="s">
        <v>96</v>
      </c>
      <c r="B25" s="27"/>
      <c r="C25" s="108" t="s">
        <v>12</v>
      </c>
      <c r="D25" s="109"/>
      <c r="E25" s="38"/>
    </row>
    <row r="26" spans="1:5" ht="21" customHeight="1" thickBot="1" x14ac:dyDescent="0.4">
      <c r="A26" s="95"/>
      <c r="B26" s="96"/>
      <c r="C26" s="110" t="s">
        <v>14</v>
      </c>
      <c r="D26" s="111"/>
      <c r="E26" s="39" t="s">
        <v>89</v>
      </c>
    </row>
    <row r="27" spans="1:5" ht="23.25" x14ac:dyDescent="0.2">
      <c r="A27" s="93"/>
      <c r="B27" s="94"/>
      <c r="C27" s="90" t="s">
        <v>16</v>
      </c>
      <c r="D27" s="91"/>
      <c r="E27" s="92"/>
    </row>
    <row r="28" spans="1:5" ht="27.75" customHeight="1" x14ac:dyDescent="0.25">
      <c r="A28" s="95"/>
      <c r="B28" s="96"/>
      <c r="C28" s="87" t="s">
        <v>17</v>
      </c>
      <c r="D28" s="88"/>
      <c r="E28" s="89"/>
    </row>
    <row r="29" spans="1:5" ht="18" customHeight="1" x14ac:dyDescent="0.25">
      <c r="A29" s="95"/>
      <c r="B29" s="96"/>
      <c r="C29" s="87" t="s">
        <v>18</v>
      </c>
      <c r="D29" s="88"/>
      <c r="E29" s="89"/>
    </row>
    <row r="30" spans="1:5" ht="18" x14ac:dyDescent="0.25">
      <c r="A30" s="93"/>
      <c r="B30" s="94"/>
      <c r="C30" s="87" t="s">
        <v>19</v>
      </c>
      <c r="D30" s="88"/>
      <c r="E30" s="89"/>
    </row>
    <row r="31" spans="1:5" ht="17.100000000000001" customHeight="1" x14ac:dyDescent="0.25">
      <c r="A31" s="95"/>
      <c r="B31" s="96"/>
      <c r="C31" s="87" t="s">
        <v>20</v>
      </c>
      <c r="D31" s="88"/>
      <c r="E31" s="89"/>
    </row>
    <row r="32" spans="1:5" ht="17.100000000000001" customHeight="1" thickBot="1" x14ac:dyDescent="0.3">
      <c r="A32" s="97"/>
      <c r="B32" s="98"/>
      <c r="C32" s="87"/>
      <c r="D32" s="88"/>
      <c r="E32" s="89"/>
    </row>
    <row r="33" spans="1:5" ht="22.5" customHeight="1" x14ac:dyDescent="0.35">
      <c r="A33" s="99" t="s">
        <v>21</v>
      </c>
      <c r="B33" s="100"/>
      <c r="C33" s="87" t="s">
        <v>22</v>
      </c>
      <c r="D33" s="88"/>
      <c r="E33" s="89"/>
    </row>
    <row r="34" spans="1:5" ht="17.100000000000001" customHeight="1" x14ac:dyDescent="0.25">
      <c r="A34" s="40"/>
      <c r="B34" s="41"/>
      <c r="C34" s="87"/>
      <c r="D34" s="88"/>
      <c r="E34" s="89"/>
    </row>
    <row r="35" spans="1:5" ht="17.100000000000001" customHeight="1" x14ac:dyDescent="0.25">
      <c r="A35" s="40"/>
      <c r="B35" s="41"/>
      <c r="C35" s="87"/>
      <c r="D35" s="88"/>
      <c r="E35" s="89"/>
    </row>
    <row r="36" spans="1:5" ht="16.5" customHeight="1" x14ac:dyDescent="0.25">
      <c r="A36" s="40"/>
      <c r="B36" s="41"/>
      <c r="C36" s="87"/>
      <c r="D36" s="88"/>
      <c r="E36" s="89"/>
    </row>
    <row r="37" spans="1:5" ht="16.5" customHeight="1" x14ac:dyDescent="0.25">
      <c r="A37" s="40"/>
      <c r="B37" s="41"/>
      <c r="C37" s="87"/>
      <c r="D37" s="88"/>
      <c r="E37" s="89"/>
    </row>
    <row r="38" spans="1:5" ht="16.5" customHeight="1" x14ac:dyDescent="0.25">
      <c r="A38" s="40"/>
      <c r="B38" s="41"/>
      <c r="C38" s="87"/>
      <c r="D38" s="88"/>
      <c r="E38" s="89"/>
    </row>
    <row r="39" spans="1:5" ht="16.5" customHeight="1" x14ac:dyDescent="0.25">
      <c r="A39" s="40"/>
      <c r="B39" s="41"/>
      <c r="C39" s="87"/>
      <c r="D39" s="88"/>
      <c r="E39" s="89"/>
    </row>
    <row r="40" spans="1:5" ht="16.5" customHeight="1" x14ac:dyDescent="0.25">
      <c r="A40" s="40"/>
      <c r="B40" s="41"/>
      <c r="C40" s="28"/>
      <c r="D40" s="29"/>
      <c r="E40" s="30"/>
    </row>
    <row r="41" spans="1:5" ht="16.5" customHeight="1" x14ac:dyDescent="0.25">
      <c r="A41" s="40"/>
      <c r="B41" s="41"/>
      <c r="C41" s="87"/>
      <c r="D41" s="88"/>
      <c r="E41" s="89"/>
    </row>
    <row r="42" spans="1:5" ht="16.5" customHeight="1" thickBot="1" x14ac:dyDescent="0.3">
      <c r="A42" s="40"/>
      <c r="B42" s="41"/>
      <c r="C42" s="31"/>
      <c r="D42" s="32"/>
      <c r="E42" s="33"/>
    </row>
    <row r="43" spans="1:5" ht="23.25" customHeight="1" x14ac:dyDescent="0.2">
      <c r="A43" s="40"/>
      <c r="B43" s="41"/>
      <c r="C43" s="90" t="s">
        <v>23</v>
      </c>
      <c r="D43" s="91"/>
      <c r="E43" s="92"/>
    </row>
    <row r="44" spans="1:5" ht="16.5" customHeight="1" x14ac:dyDescent="0.2">
      <c r="A44" s="40"/>
      <c r="B44" s="41"/>
      <c r="C44" s="84" t="s">
        <v>24</v>
      </c>
      <c r="D44" s="85"/>
      <c r="E44" s="86"/>
    </row>
    <row r="45" spans="1:5" ht="16.5" customHeight="1" x14ac:dyDescent="0.2">
      <c r="A45" s="40"/>
      <c r="B45" s="41"/>
      <c r="C45" s="84"/>
      <c r="D45" s="85"/>
      <c r="E45" s="86"/>
    </row>
    <row r="46" spans="1:5" ht="16.5" customHeight="1" x14ac:dyDescent="0.2">
      <c r="A46" s="40"/>
      <c r="B46" s="41"/>
      <c r="C46" s="84"/>
      <c r="D46" s="85"/>
      <c r="E46" s="86"/>
    </row>
    <row r="47" spans="1:5" ht="16.5" customHeight="1" x14ac:dyDescent="0.2">
      <c r="A47" s="40"/>
      <c r="B47" s="41"/>
      <c r="C47" s="84"/>
      <c r="D47" s="85"/>
      <c r="E47" s="86"/>
    </row>
    <row r="48" spans="1:5" ht="16.5" customHeight="1" x14ac:dyDescent="0.2">
      <c r="A48" s="40"/>
      <c r="B48" s="41"/>
      <c r="C48" s="84"/>
      <c r="D48" s="85"/>
      <c r="E48" s="86"/>
    </row>
    <row r="49" spans="1:5" ht="16.5" customHeight="1" x14ac:dyDescent="0.2">
      <c r="A49" s="40"/>
      <c r="B49" s="41"/>
      <c r="C49" s="84"/>
      <c r="D49" s="85"/>
      <c r="E49" s="86"/>
    </row>
    <row r="50" spans="1:5" ht="16.5" customHeight="1" x14ac:dyDescent="0.2">
      <c r="A50" s="40"/>
      <c r="B50" s="41"/>
      <c r="C50" s="84"/>
      <c r="D50" s="85"/>
      <c r="E50" s="86"/>
    </row>
    <row r="51" spans="1:5" ht="16.5" customHeight="1" thickBot="1" x14ac:dyDescent="0.25">
      <c r="A51" s="42"/>
      <c r="B51" s="43"/>
      <c r="C51" s="84"/>
      <c r="D51" s="85"/>
      <c r="E51" s="86"/>
    </row>
    <row r="52" spans="1:5" ht="23.25" x14ac:dyDescent="0.35">
      <c r="A52" s="80" t="s">
        <v>25</v>
      </c>
      <c r="B52" s="81"/>
      <c r="C52" s="82" t="s">
        <v>26</v>
      </c>
      <c r="D52" s="83"/>
      <c r="E52" s="12">
        <f>SUM(E3:E23)</f>
        <v>0</v>
      </c>
    </row>
    <row r="53" spans="1:5" ht="18.75" customHeight="1" x14ac:dyDescent="0.25">
      <c r="A53" s="76" t="s">
        <v>27</v>
      </c>
      <c r="B53" s="77"/>
      <c r="C53" s="78" t="s">
        <v>28</v>
      </c>
      <c r="D53" s="79"/>
      <c r="E53" s="34">
        <v>40</v>
      </c>
    </row>
    <row r="54" spans="1:5" ht="18.75" customHeight="1" x14ac:dyDescent="0.25">
      <c r="A54" s="76" t="s">
        <v>29</v>
      </c>
      <c r="B54" s="77"/>
      <c r="C54" s="78" t="s">
        <v>30</v>
      </c>
      <c r="D54" s="79"/>
      <c r="E54" s="8">
        <f>SUM(E52/E53)</f>
        <v>0</v>
      </c>
    </row>
    <row r="55" spans="1:5" ht="18.75" customHeight="1" x14ac:dyDescent="0.25">
      <c r="A55" s="76" t="s">
        <v>31</v>
      </c>
      <c r="B55" s="77"/>
      <c r="C55" s="78" t="s">
        <v>32</v>
      </c>
      <c r="D55" s="79"/>
      <c r="E55" s="35">
        <v>0.04</v>
      </c>
    </row>
    <row r="56" spans="1:5" ht="18.75" customHeight="1" x14ac:dyDescent="0.25">
      <c r="A56" s="76" t="s">
        <v>33</v>
      </c>
      <c r="B56" s="77"/>
      <c r="C56" s="78" t="s">
        <v>5</v>
      </c>
      <c r="D56" s="79"/>
      <c r="E56" s="8">
        <f>(+E54*E55)+E54</f>
        <v>0</v>
      </c>
    </row>
    <row r="57" spans="1:5" ht="18.75" customHeight="1" x14ac:dyDescent="0.25">
      <c r="A57" s="76" t="s">
        <v>34</v>
      </c>
      <c r="B57" s="77"/>
      <c r="C57" s="78" t="s">
        <v>35</v>
      </c>
      <c r="D57" s="79"/>
      <c r="E57" s="36"/>
    </row>
    <row r="58" spans="1:5" ht="18.75" customHeight="1" thickBot="1" x14ac:dyDescent="0.3">
      <c r="A58" s="72" t="s">
        <v>36</v>
      </c>
      <c r="B58" s="73"/>
      <c r="C58" s="74" t="s">
        <v>37</v>
      </c>
      <c r="D58" s="75"/>
      <c r="E58" s="16"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09BE-66D8-463F-9090-8F4AA65EB3D5}">
  <sheetPr codeName="Sheet8">
    <tabColor rgb="FF0000FF"/>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101" t="s">
        <v>97</v>
      </c>
      <c r="C1" s="102"/>
      <c r="D1" s="102"/>
      <c r="E1" s="103"/>
    </row>
    <row r="2" spans="1:5" s="4" customFormat="1" ht="23.25" x14ac:dyDescent="0.35">
      <c r="A2" s="11" t="s">
        <v>1</v>
      </c>
      <c r="B2" s="2" t="s">
        <v>2</v>
      </c>
      <c r="C2" s="2" t="s">
        <v>3</v>
      </c>
      <c r="D2" s="2" t="s">
        <v>4</v>
      </c>
      <c r="E2" s="3" t="s">
        <v>5</v>
      </c>
    </row>
    <row r="3" spans="1:5" ht="19.5" customHeight="1" x14ac:dyDescent="0.25">
      <c r="A3" s="17" t="s">
        <v>98</v>
      </c>
      <c r="B3" s="18">
        <v>4</v>
      </c>
      <c r="C3" s="19" t="s">
        <v>99</v>
      </c>
      <c r="D3" s="20">
        <v>0.78</v>
      </c>
      <c r="E3" s="6">
        <v>3.12</v>
      </c>
    </row>
    <row r="4" spans="1:5" ht="19.5" customHeight="1" x14ac:dyDescent="0.25">
      <c r="A4" s="17" t="s">
        <v>100</v>
      </c>
      <c r="B4" s="44">
        <v>0.5</v>
      </c>
      <c r="C4" s="44" t="s">
        <v>101</v>
      </c>
      <c r="D4" s="20">
        <v>9.18</v>
      </c>
      <c r="E4" s="6">
        <v>4.59</v>
      </c>
    </row>
    <row r="5" spans="1:5" ht="19.5" customHeight="1" x14ac:dyDescent="0.25">
      <c r="A5" s="21" t="s">
        <v>102</v>
      </c>
      <c r="B5" s="44">
        <v>0.5</v>
      </c>
      <c r="C5" s="44" t="s">
        <v>101</v>
      </c>
      <c r="D5" s="20">
        <v>23.22</v>
      </c>
      <c r="E5" s="6">
        <v>11.61</v>
      </c>
    </row>
    <row r="6" spans="1:5" ht="19.5" customHeight="1" x14ac:dyDescent="0.25">
      <c r="A6" s="17"/>
      <c r="B6" s="44"/>
      <c r="C6" s="44"/>
      <c r="D6" s="20"/>
      <c r="E6" s="6"/>
    </row>
    <row r="7" spans="1:5" ht="19.5" customHeight="1" x14ac:dyDescent="0.25">
      <c r="A7" s="17"/>
      <c r="B7" s="18"/>
      <c r="C7" s="19"/>
      <c r="D7" s="20"/>
      <c r="E7" s="6"/>
    </row>
    <row r="8" spans="1:5" ht="19.5" customHeight="1" x14ac:dyDescent="0.25">
      <c r="A8" s="17"/>
      <c r="B8" s="18"/>
      <c r="C8" s="19"/>
      <c r="D8" s="20"/>
      <c r="E8" s="6"/>
    </row>
    <row r="9" spans="1:5" ht="19.5" customHeight="1" x14ac:dyDescent="0.25">
      <c r="A9" s="17"/>
      <c r="B9" s="18"/>
      <c r="C9" s="19"/>
      <c r="D9" s="20"/>
      <c r="E9" s="6"/>
    </row>
    <row r="10" spans="1:5" ht="19.5" customHeight="1" x14ac:dyDescent="0.25">
      <c r="A10" s="17"/>
      <c r="B10" s="18"/>
      <c r="C10" s="19"/>
      <c r="D10" s="20"/>
      <c r="E10" s="6"/>
    </row>
    <row r="11" spans="1:5" ht="19.5" customHeight="1" x14ac:dyDescent="0.25">
      <c r="A11" s="17"/>
      <c r="B11" s="22"/>
      <c r="C11" s="19"/>
      <c r="D11" s="20"/>
      <c r="E11" s="6"/>
    </row>
    <row r="12" spans="1:5" ht="19.5" customHeight="1" x14ac:dyDescent="0.25">
      <c r="A12" s="17"/>
      <c r="B12" s="22"/>
      <c r="C12" s="19"/>
      <c r="D12" s="20"/>
      <c r="E12" s="6"/>
    </row>
    <row r="13" spans="1:5" ht="19.5" customHeight="1" x14ac:dyDescent="0.25">
      <c r="A13" s="17"/>
      <c r="B13" s="22"/>
      <c r="C13" s="19"/>
      <c r="D13" s="20"/>
      <c r="E13" s="6"/>
    </row>
    <row r="14" spans="1:5" ht="19.5" customHeight="1" x14ac:dyDescent="0.25">
      <c r="A14" s="17"/>
      <c r="B14" s="22"/>
      <c r="C14" s="19"/>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104" t="s">
        <v>10</v>
      </c>
      <c r="B24" s="105"/>
      <c r="C24" s="106" t="s">
        <v>11</v>
      </c>
      <c r="D24" s="107"/>
      <c r="E24" s="37">
        <v>1</v>
      </c>
    </row>
    <row r="25" spans="1:5" ht="87.75" customHeight="1" x14ac:dyDescent="0.35">
      <c r="A25" s="71" t="s">
        <v>103</v>
      </c>
      <c r="B25" s="27"/>
      <c r="C25" s="108" t="s">
        <v>12</v>
      </c>
      <c r="D25" s="109"/>
      <c r="E25" s="38" t="s">
        <v>101</v>
      </c>
    </row>
    <row r="26" spans="1:5" ht="21" customHeight="1" thickBot="1" x14ac:dyDescent="0.4">
      <c r="A26" s="95"/>
      <c r="B26" s="96"/>
      <c r="C26" s="110" t="s">
        <v>14</v>
      </c>
      <c r="D26" s="111"/>
      <c r="E26" s="39" t="s">
        <v>15</v>
      </c>
    </row>
    <row r="27" spans="1:5" ht="23.25" x14ac:dyDescent="0.2">
      <c r="A27" s="93"/>
      <c r="B27" s="94"/>
      <c r="C27" s="90" t="s">
        <v>16</v>
      </c>
      <c r="D27" s="91"/>
      <c r="E27" s="92"/>
    </row>
    <row r="28" spans="1:5" ht="27.75" customHeight="1" x14ac:dyDescent="0.25">
      <c r="A28" s="95"/>
      <c r="B28" s="96"/>
      <c r="C28" s="87"/>
      <c r="D28" s="88"/>
      <c r="E28" s="89"/>
    </row>
    <row r="29" spans="1:5" ht="18" customHeight="1" x14ac:dyDescent="0.25">
      <c r="A29" s="95"/>
      <c r="B29" s="96"/>
      <c r="C29" s="87"/>
      <c r="D29" s="88"/>
      <c r="E29" s="89"/>
    </row>
    <row r="30" spans="1:5" ht="18" x14ac:dyDescent="0.25">
      <c r="A30" s="93"/>
      <c r="B30" s="94"/>
      <c r="C30" s="87"/>
      <c r="D30" s="88"/>
      <c r="E30" s="89"/>
    </row>
    <row r="31" spans="1:5" ht="17.100000000000001" customHeight="1" x14ac:dyDescent="0.25">
      <c r="A31" s="95"/>
      <c r="B31" s="96"/>
      <c r="C31" s="87"/>
      <c r="D31" s="88"/>
      <c r="E31" s="89"/>
    </row>
    <row r="32" spans="1:5" ht="17.100000000000001" customHeight="1" thickBot="1" x14ac:dyDescent="0.3">
      <c r="A32" s="97"/>
      <c r="B32" s="98"/>
      <c r="C32" s="87"/>
      <c r="D32" s="88"/>
      <c r="E32" s="89"/>
    </row>
    <row r="33" spans="1:5" ht="22.5" customHeight="1" x14ac:dyDescent="0.35">
      <c r="A33" s="99" t="s">
        <v>21</v>
      </c>
      <c r="B33" s="100"/>
      <c r="C33" s="87" t="s">
        <v>22</v>
      </c>
      <c r="D33" s="88"/>
      <c r="E33" s="89"/>
    </row>
    <row r="34" spans="1:5" ht="17.100000000000001" customHeight="1" x14ac:dyDescent="0.25">
      <c r="A34" s="40"/>
      <c r="B34" s="41"/>
      <c r="C34" s="87"/>
      <c r="D34" s="88"/>
      <c r="E34" s="89"/>
    </row>
    <row r="35" spans="1:5" ht="17.100000000000001" customHeight="1" x14ac:dyDescent="0.25">
      <c r="A35" s="40"/>
      <c r="B35" s="41"/>
      <c r="C35" s="87"/>
      <c r="D35" s="88"/>
      <c r="E35" s="89"/>
    </row>
    <row r="36" spans="1:5" ht="16.5" customHeight="1" x14ac:dyDescent="0.25">
      <c r="A36" s="40"/>
      <c r="B36" s="41"/>
      <c r="C36" s="87"/>
      <c r="D36" s="88"/>
      <c r="E36" s="89"/>
    </row>
    <row r="37" spans="1:5" ht="16.5" customHeight="1" x14ac:dyDescent="0.25">
      <c r="A37" s="40"/>
      <c r="B37" s="41"/>
      <c r="C37" s="87"/>
      <c r="D37" s="88"/>
      <c r="E37" s="89"/>
    </row>
    <row r="38" spans="1:5" ht="16.5" customHeight="1" x14ac:dyDescent="0.25">
      <c r="A38" s="40"/>
      <c r="B38" s="41"/>
      <c r="C38" s="87"/>
      <c r="D38" s="88"/>
      <c r="E38" s="89"/>
    </row>
    <row r="39" spans="1:5" ht="16.5" customHeight="1" x14ac:dyDescent="0.25">
      <c r="A39" s="40"/>
      <c r="B39" s="41"/>
      <c r="C39" s="87"/>
      <c r="D39" s="88"/>
      <c r="E39" s="89"/>
    </row>
    <row r="40" spans="1:5" ht="16.5" customHeight="1" x14ac:dyDescent="0.25">
      <c r="A40" s="40"/>
      <c r="B40" s="41"/>
      <c r="C40" s="28"/>
      <c r="D40" s="29"/>
      <c r="E40" s="30"/>
    </row>
    <row r="41" spans="1:5" ht="16.5" customHeight="1" x14ac:dyDescent="0.25">
      <c r="A41" s="40"/>
      <c r="B41" s="41"/>
      <c r="C41" s="87"/>
      <c r="D41" s="88"/>
      <c r="E41" s="89"/>
    </row>
    <row r="42" spans="1:5" ht="16.5" customHeight="1" thickBot="1" x14ac:dyDescent="0.3">
      <c r="A42" s="40"/>
      <c r="B42" s="41"/>
      <c r="C42" s="31"/>
      <c r="D42" s="32"/>
      <c r="E42" s="33"/>
    </row>
    <row r="43" spans="1:5" ht="23.25" customHeight="1" x14ac:dyDescent="0.2">
      <c r="A43" s="40"/>
      <c r="B43" s="41"/>
      <c r="C43" s="90" t="s">
        <v>23</v>
      </c>
      <c r="D43" s="91"/>
      <c r="E43" s="92"/>
    </row>
    <row r="44" spans="1:5" ht="16.5" customHeight="1" x14ac:dyDescent="0.2">
      <c r="A44" s="40"/>
      <c r="B44" s="41"/>
      <c r="C44" s="84" t="s">
        <v>24</v>
      </c>
      <c r="D44" s="85"/>
      <c r="E44" s="86"/>
    </row>
    <row r="45" spans="1:5" ht="16.5" customHeight="1" x14ac:dyDescent="0.2">
      <c r="A45" s="40"/>
      <c r="B45" s="41"/>
      <c r="C45" s="84"/>
      <c r="D45" s="85"/>
      <c r="E45" s="86"/>
    </row>
    <row r="46" spans="1:5" ht="16.5" customHeight="1" x14ac:dyDescent="0.2">
      <c r="A46" s="40"/>
      <c r="B46" s="41"/>
      <c r="C46" s="84"/>
      <c r="D46" s="85"/>
      <c r="E46" s="86"/>
    </row>
    <row r="47" spans="1:5" ht="16.5" customHeight="1" x14ac:dyDescent="0.2">
      <c r="A47" s="40"/>
      <c r="B47" s="41"/>
      <c r="C47" s="84"/>
      <c r="D47" s="85"/>
      <c r="E47" s="86"/>
    </row>
    <row r="48" spans="1:5" ht="16.5" customHeight="1" x14ac:dyDescent="0.2">
      <c r="A48" s="40"/>
      <c r="B48" s="41"/>
      <c r="C48" s="84"/>
      <c r="D48" s="85"/>
      <c r="E48" s="86"/>
    </row>
    <row r="49" spans="1:5" ht="16.5" customHeight="1" x14ac:dyDescent="0.2">
      <c r="A49" s="40"/>
      <c r="B49" s="41"/>
      <c r="C49" s="84"/>
      <c r="D49" s="85"/>
      <c r="E49" s="86"/>
    </row>
    <row r="50" spans="1:5" ht="16.5" customHeight="1" x14ac:dyDescent="0.2">
      <c r="A50" s="40"/>
      <c r="B50" s="41"/>
      <c r="C50" s="84"/>
      <c r="D50" s="85"/>
      <c r="E50" s="86"/>
    </row>
    <row r="51" spans="1:5" ht="16.5" customHeight="1" thickBot="1" x14ac:dyDescent="0.25">
      <c r="A51" s="42"/>
      <c r="B51" s="43"/>
      <c r="C51" s="84"/>
      <c r="D51" s="85"/>
      <c r="E51" s="86"/>
    </row>
    <row r="52" spans="1:5" ht="23.25" x14ac:dyDescent="0.35">
      <c r="A52" s="80" t="s">
        <v>25</v>
      </c>
      <c r="B52" s="81"/>
      <c r="C52" s="82" t="s">
        <v>26</v>
      </c>
      <c r="D52" s="83"/>
      <c r="E52" s="12">
        <f>SUM(E3:E23)</f>
        <v>19.32</v>
      </c>
    </row>
    <row r="53" spans="1:5" ht="18.75" customHeight="1" x14ac:dyDescent="0.25">
      <c r="A53" s="76" t="s">
        <v>27</v>
      </c>
      <c r="B53" s="77"/>
      <c r="C53" s="78" t="s">
        <v>28</v>
      </c>
      <c r="D53" s="79"/>
      <c r="E53" s="34">
        <v>128</v>
      </c>
    </row>
    <row r="54" spans="1:5" ht="18.75" customHeight="1" x14ac:dyDescent="0.25">
      <c r="A54" s="76" t="s">
        <v>29</v>
      </c>
      <c r="B54" s="77"/>
      <c r="C54" s="78" t="s">
        <v>30</v>
      </c>
      <c r="D54" s="79"/>
      <c r="E54" s="8">
        <f>SUM(E52/E53)</f>
        <v>0.1509375</v>
      </c>
    </row>
    <row r="55" spans="1:5" ht="18.75" customHeight="1" x14ac:dyDescent="0.25">
      <c r="A55" s="76" t="s">
        <v>31</v>
      </c>
      <c r="B55" s="77"/>
      <c r="C55" s="78" t="s">
        <v>32</v>
      </c>
      <c r="D55" s="79"/>
      <c r="E55" s="35">
        <v>0</v>
      </c>
    </row>
    <row r="56" spans="1:5" ht="18.75" customHeight="1" x14ac:dyDescent="0.25">
      <c r="A56" s="76" t="s">
        <v>33</v>
      </c>
      <c r="B56" s="77"/>
      <c r="C56" s="78" t="s">
        <v>5</v>
      </c>
      <c r="D56" s="79"/>
      <c r="E56" s="8">
        <f>(+E54*E55)+E54</f>
        <v>0.1509375</v>
      </c>
    </row>
    <row r="57" spans="1:5" ht="18.75" customHeight="1" x14ac:dyDescent="0.25">
      <c r="A57" s="76" t="s">
        <v>34</v>
      </c>
      <c r="B57" s="77"/>
      <c r="C57" s="78" t="s">
        <v>35</v>
      </c>
      <c r="D57" s="79"/>
      <c r="E57" s="36"/>
    </row>
    <row r="58" spans="1:5" ht="18.75" customHeight="1" thickBot="1" x14ac:dyDescent="0.3">
      <c r="A58" s="72" t="s">
        <v>36</v>
      </c>
      <c r="B58" s="73"/>
      <c r="C58" s="74" t="s">
        <v>37</v>
      </c>
      <c r="D58" s="75"/>
      <c r="E58" s="16"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1 2 Wings</vt:lpstr>
      <vt:lpstr>Smoked Wings</vt:lpstr>
      <vt:lpstr>Huli Huli</vt:lpstr>
      <vt:lpstr>BBQ Sauce</vt:lpstr>
      <vt:lpstr>Apple Marmalade (2)</vt:lpstr>
      <vt:lpstr>Hot Honey</vt:lpstr>
      <vt:lpstr>Pineapple Teriyaki</vt:lpstr>
      <vt:lpstr>Ranch</vt:lpstr>
      <vt:lpstr>'1 2 Wings'!Print_Area</vt:lpstr>
      <vt:lpstr>'Hot Honey'!Print_Area</vt:lpstr>
      <vt:lpstr>'Huli Huli'!Print_Area</vt:lpstr>
      <vt:lpstr>'Pineapple Teriyaki'!Print_Area</vt:lpstr>
      <vt:lpstr>Ranch!Print_Area</vt:lpstr>
      <vt:lpstr>'Smoked Wings'!Print_Area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2026-02-08T03:40:38Z</dcterms:modified>
  <cp:category/>
  <cp:contentStatus/>
</cp:coreProperties>
</file>